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frank/Desktop/9 Semestre/Finanzas /"/>
    </mc:Choice>
  </mc:AlternateContent>
  <xr:revisionPtr revIDLastSave="0" documentId="8_{84627DE7-B46E-E643-99EF-6BB3171D3A07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Dashboard" sheetId="1" r:id="rId1"/>
    <sheet name="Control" sheetId="2" r:id="rId2"/>
    <sheet name="Supuestos_Trimestrales" sheetId="3" r:id="rId3"/>
    <sheet name="Deuda_60_Meses" sheetId="4" r:id="rId4"/>
    <sheet name="Venta_Proyecto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9" i="5" l="1"/>
  <c r="C69" i="5"/>
  <c r="T68" i="5"/>
  <c r="C68" i="5"/>
  <c r="T67" i="5"/>
  <c r="C67" i="5"/>
  <c r="T66" i="5"/>
  <c r="C66" i="5"/>
  <c r="T65" i="5"/>
  <c r="C65" i="5"/>
  <c r="T64" i="5"/>
  <c r="C64" i="5"/>
  <c r="T63" i="5"/>
  <c r="C63" i="5"/>
  <c r="T62" i="5"/>
  <c r="C62" i="5"/>
  <c r="T61" i="5"/>
  <c r="C61" i="5"/>
  <c r="T60" i="5"/>
  <c r="C60" i="5"/>
  <c r="T59" i="5"/>
  <c r="C59" i="5"/>
  <c r="T58" i="5"/>
  <c r="C58" i="5"/>
  <c r="T57" i="5"/>
  <c r="C57" i="5"/>
  <c r="T56" i="5"/>
  <c r="C56" i="5"/>
  <c r="T55" i="5"/>
  <c r="C55" i="5"/>
  <c r="T54" i="5"/>
  <c r="C54" i="5"/>
  <c r="T53" i="5"/>
  <c r="C53" i="5"/>
  <c r="T52" i="5"/>
  <c r="C52" i="5"/>
  <c r="T51" i="5"/>
  <c r="D51" i="5"/>
  <c r="C51" i="5"/>
  <c r="T50" i="5"/>
  <c r="C50" i="5"/>
  <c r="T49" i="5"/>
  <c r="C49" i="5"/>
  <c r="T48" i="5"/>
  <c r="C48" i="5"/>
  <c r="T47" i="5"/>
  <c r="C47" i="5"/>
  <c r="T46" i="5"/>
  <c r="C46" i="5"/>
  <c r="T45" i="5"/>
  <c r="C45" i="5"/>
  <c r="T44" i="5"/>
  <c r="C44" i="5"/>
  <c r="T43" i="5"/>
  <c r="C43" i="5"/>
  <c r="T42" i="5"/>
  <c r="C42" i="5"/>
  <c r="T41" i="5"/>
  <c r="C41" i="5"/>
  <c r="T40" i="5"/>
  <c r="C40" i="5"/>
  <c r="B31" i="5"/>
  <c r="B30" i="5"/>
  <c r="B27" i="5"/>
  <c r="B28" i="5" s="1"/>
  <c r="G14" i="5"/>
  <c r="B17" i="1" s="1"/>
  <c r="G13" i="5"/>
  <c r="E16" i="1" s="1"/>
  <c r="B8" i="5"/>
  <c r="G6" i="5"/>
  <c r="B5" i="5"/>
  <c r="H70" i="4"/>
  <c r="F70" i="4"/>
  <c r="H69" i="4"/>
  <c r="F69" i="4"/>
  <c r="H68" i="4"/>
  <c r="F68" i="4"/>
  <c r="H67" i="4"/>
  <c r="F67" i="4"/>
  <c r="H66" i="4"/>
  <c r="F66" i="4"/>
  <c r="H65" i="4"/>
  <c r="F65" i="4"/>
  <c r="H64" i="4"/>
  <c r="F64" i="4"/>
  <c r="H63" i="4"/>
  <c r="F63" i="4"/>
  <c r="H62" i="4"/>
  <c r="F62" i="4"/>
  <c r="H61" i="4"/>
  <c r="F61" i="4"/>
  <c r="H60" i="4"/>
  <c r="F60" i="4"/>
  <c r="H59" i="4"/>
  <c r="F59" i="4"/>
  <c r="H58" i="4"/>
  <c r="F58" i="4"/>
  <c r="H57" i="4"/>
  <c r="F57" i="4"/>
  <c r="H56" i="4"/>
  <c r="F56" i="4"/>
  <c r="H55" i="4"/>
  <c r="F55" i="4"/>
  <c r="H54" i="4"/>
  <c r="F54" i="4"/>
  <c r="H53" i="4"/>
  <c r="F53" i="4"/>
  <c r="H52" i="4"/>
  <c r="F52" i="4"/>
  <c r="H51" i="4"/>
  <c r="F51" i="4"/>
  <c r="H50" i="4"/>
  <c r="F50" i="4"/>
  <c r="H49" i="4"/>
  <c r="F49" i="4"/>
  <c r="H48" i="4"/>
  <c r="F48" i="4"/>
  <c r="H47" i="4"/>
  <c r="F47" i="4"/>
  <c r="H46" i="4"/>
  <c r="F46" i="4"/>
  <c r="H45" i="4"/>
  <c r="F45" i="4"/>
  <c r="H44" i="4"/>
  <c r="F44" i="4"/>
  <c r="H43" i="4"/>
  <c r="F43" i="4"/>
  <c r="H42" i="4"/>
  <c r="F42" i="4"/>
  <c r="H41" i="4"/>
  <c r="F41" i="4"/>
  <c r="H40" i="4"/>
  <c r="F40" i="4"/>
  <c r="H39" i="4"/>
  <c r="F39" i="4"/>
  <c r="H38" i="4"/>
  <c r="F38" i="4"/>
  <c r="H37" i="4"/>
  <c r="F37" i="4"/>
  <c r="H36" i="4"/>
  <c r="F36" i="4"/>
  <c r="H35" i="4"/>
  <c r="F35" i="4"/>
  <c r="H34" i="4"/>
  <c r="F34" i="4"/>
  <c r="H33" i="4"/>
  <c r="F33" i="4"/>
  <c r="H32" i="4"/>
  <c r="F32" i="4"/>
  <c r="H31" i="4"/>
  <c r="F31" i="4"/>
  <c r="H30" i="4"/>
  <c r="F30" i="4"/>
  <c r="H29" i="4"/>
  <c r="F29" i="4"/>
  <c r="H28" i="4"/>
  <c r="F28" i="4"/>
  <c r="H27" i="4"/>
  <c r="F27" i="4"/>
  <c r="H26" i="4"/>
  <c r="F26" i="4"/>
  <c r="H25" i="4"/>
  <c r="F25" i="4"/>
  <c r="H24" i="4"/>
  <c r="F24" i="4"/>
  <c r="H23" i="4"/>
  <c r="F23" i="4"/>
  <c r="H22" i="4"/>
  <c r="F22" i="4"/>
  <c r="H21" i="4"/>
  <c r="F21" i="4"/>
  <c r="H20" i="4"/>
  <c r="F20" i="4"/>
  <c r="H19" i="4"/>
  <c r="F19" i="4"/>
  <c r="H18" i="4"/>
  <c r="F18" i="4"/>
  <c r="H17" i="4"/>
  <c r="F17" i="4"/>
  <c r="H16" i="4"/>
  <c r="H15" i="4"/>
  <c r="H14" i="4"/>
  <c r="H13" i="4"/>
  <c r="H12" i="4"/>
  <c r="H11" i="4"/>
  <c r="B6" i="4"/>
  <c r="B5" i="4"/>
  <c r="B4" i="4"/>
  <c r="B3" i="4"/>
  <c r="F16" i="3"/>
  <c r="L15" i="3"/>
  <c r="K15" i="3"/>
  <c r="J15" i="3"/>
  <c r="I15" i="3"/>
  <c r="H15" i="3"/>
  <c r="G15" i="3"/>
  <c r="F15" i="3"/>
  <c r="E15" i="3"/>
  <c r="E16" i="3" s="1"/>
  <c r="D15" i="3"/>
  <c r="C15" i="3"/>
  <c r="B15" i="3"/>
  <c r="F14" i="3"/>
  <c r="J13" i="3"/>
  <c r="I12" i="3"/>
  <c r="I16" i="3" s="1"/>
  <c r="G12" i="3"/>
  <c r="G16" i="3" s="1"/>
  <c r="F12" i="3"/>
  <c r="F13" i="3" s="1"/>
  <c r="E12" i="3"/>
  <c r="E14" i="3" s="1"/>
  <c r="M11" i="3"/>
  <c r="M12" i="3" s="1"/>
  <c r="L11" i="3"/>
  <c r="L12" i="3" s="1"/>
  <c r="K11" i="3"/>
  <c r="K12" i="3" s="1"/>
  <c r="J11" i="3"/>
  <c r="J12" i="3" s="1"/>
  <c r="I11" i="3"/>
  <c r="H11" i="3"/>
  <c r="H12" i="3" s="1"/>
  <c r="G11" i="3"/>
  <c r="F11" i="3"/>
  <c r="E11" i="3"/>
  <c r="D11" i="3"/>
  <c r="D12" i="3" s="1"/>
  <c r="C11" i="3"/>
  <c r="C12" i="3" s="1"/>
  <c r="B11" i="3"/>
  <c r="B12" i="3" s="1"/>
  <c r="B35" i="2"/>
  <c r="B36" i="2" s="1"/>
  <c r="F5" i="1" s="1"/>
  <c r="B34" i="2"/>
  <c r="B28" i="2"/>
  <c r="B18" i="2"/>
  <c r="B19" i="2" s="1"/>
  <c r="B15" i="1"/>
  <c r="F12" i="1"/>
  <c r="E12" i="1"/>
  <c r="F11" i="1"/>
  <c r="E11" i="1"/>
  <c r="B11" i="1"/>
  <c r="A11" i="1"/>
  <c r="F10" i="1"/>
  <c r="E10" i="1"/>
  <c r="B10" i="1"/>
  <c r="A10" i="1"/>
  <c r="F9" i="1"/>
  <c r="E9" i="1"/>
  <c r="B9" i="1"/>
  <c r="A9" i="1"/>
  <c r="D5" i="1"/>
  <c r="B5" i="1"/>
  <c r="F4" i="1"/>
  <c r="D4" i="1"/>
  <c r="B4" i="1"/>
  <c r="M13" i="3" l="1"/>
  <c r="M14" i="3"/>
  <c r="K13" i="3"/>
  <c r="K16" i="3"/>
  <c r="K14" i="3"/>
  <c r="D16" i="3"/>
  <c r="D14" i="3"/>
  <c r="D13" i="3"/>
  <c r="C13" i="3"/>
  <c r="C14" i="3"/>
  <c r="C16" i="3"/>
  <c r="H13" i="3"/>
  <c r="H16" i="3"/>
  <c r="H14" i="3"/>
  <c r="E13" i="3"/>
  <c r="K66" i="4"/>
  <c r="B11" i="4"/>
  <c r="B7" i="4"/>
  <c r="G13" i="3"/>
  <c r="G14" i="3"/>
  <c r="B16" i="3"/>
  <c r="B14" i="3"/>
  <c r="J16" i="3"/>
  <c r="J14" i="3"/>
  <c r="I13" i="3"/>
  <c r="I14" i="3"/>
  <c r="B13" i="3"/>
  <c r="L16" i="3"/>
  <c r="L14" i="3"/>
  <c r="L13" i="3"/>
  <c r="D68" i="5"/>
  <c r="D66" i="5"/>
  <c r="D64" i="5"/>
  <c r="D62" i="5"/>
  <c r="D60" i="5"/>
  <c r="D58" i="5"/>
  <c r="D56" i="5"/>
  <c r="D54" i="5"/>
  <c r="D52" i="5"/>
  <c r="D50" i="5"/>
  <c r="D48" i="5"/>
  <c r="D46" i="5"/>
  <c r="D44" i="5"/>
  <c r="D42" i="5"/>
  <c r="D40" i="5"/>
  <c r="B71" i="5"/>
  <c r="D69" i="5"/>
  <c r="D67" i="5"/>
  <c r="D65" i="5"/>
  <c r="D63" i="5"/>
  <c r="D61" i="5"/>
  <c r="D59" i="5"/>
  <c r="D57" i="5"/>
  <c r="D53" i="5"/>
  <c r="D55" i="5"/>
  <c r="D41" i="5"/>
  <c r="B15" i="5"/>
  <c r="B18" i="5" s="1"/>
  <c r="B10" i="5"/>
  <c r="B16" i="5"/>
  <c r="D43" i="5"/>
  <c r="B6" i="5"/>
  <c r="K40" i="5" s="1"/>
  <c r="D45" i="5"/>
  <c r="D47" i="5"/>
  <c r="B7" i="5"/>
  <c r="B77" i="5" s="1"/>
  <c r="D49" i="5"/>
  <c r="L40" i="5" l="1"/>
  <c r="G69" i="5"/>
  <c r="G54" i="5"/>
  <c r="G45" i="5"/>
  <c r="G68" i="5"/>
  <c r="G64" i="5"/>
  <c r="G60" i="5"/>
  <c r="G56" i="5"/>
  <c r="G52" i="5"/>
  <c r="G43" i="5"/>
  <c r="B20" i="5"/>
  <c r="G50" i="5"/>
  <c r="G41" i="5"/>
  <c r="G67" i="5"/>
  <c r="G63" i="5"/>
  <c r="G59" i="5"/>
  <c r="G55" i="5"/>
  <c r="G48" i="5"/>
  <c r="G53" i="5"/>
  <c r="G46" i="5"/>
  <c r="G66" i="5"/>
  <c r="G62" i="5"/>
  <c r="G58" i="5"/>
  <c r="G51" i="5"/>
  <c r="G49" i="5"/>
  <c r="G42" i="5"/>
  <c r="G47" i="5"/>
  <c r="G61" i="5"/>
  <c r="G44" i="5"/>
  <c r="G65" i="5"/>
  <c r="G40" i="5"/>
  <c r="G57" i="5"/>
  <c r="B11" i="5"/>
  <c r="D70" i="4"/>
  <c r="D61" i="4"/>
  <c r="D53" i="4"/>
  <c r="D45" i="4"/>
  <c r="D37" i="4"/>
  <c r="D29" i="4"/>
  <c r="D21" i="4"/>
  <c r="D13" i="4"/>
  <c r="D63" i="4"/>
  <c r="D55" i="4"/>
  <c r="D47" i="4"/>
  <c r="D39" i="4"/>
  <c r="D31" i="4"/>
  <c r="D23" i="4"/>
  <c r="D15" i="4"/>
  <c r="D64" i="4"/>
  <c r="D56" i="4"/>
  <c r="D48" i="4"/>
  <c r="D40" i="4"/>
  <c r="D32" i="4"/>
  <c r="D24" i="4"/>
  <c r="D16" i="4"/>
  <c r="D65" i="4"/>
  <c r="D57" i="4"/>
  <c r="D49" i="4"/>
  <c r="D41" i="4"/>
  <c r="D33" i="4"/>
  <c r="D25" i="4"/>
  <c r="D17" i="4"/>
  <c r="D68" i="4"/>
  <c r="D59" i="4"/>
  <c r="D54" i="4"/>
  <c r="D38" i="4"/>
  <c r="D22" i="4"/>
  <c r="D50" i="4"/>
  <c r="D34" i="4"/>
  <c r="D27" i="4"/>
  <c r="D69" i="4"/>
  <c r="D67" i="4"/>
  <c r="D14" i="4"/>
  <c r="D46" i="4"/>
  <c r="D30" i="4"/>
  <c r="D12" i="4"/>
  <c r="D52" i="4"/>
  <c r="D36" i="4"/>
  <c r="D20" i="4"/>
  <c r="D11" i="4"/>
  <c r="D43" i="4"/>
  <c r="D18" i="4"/>
  <c r="D44" i="4"/>
  <c r="D28" i="4"/>
  <c r="D62" i="4"/>
  <c r="D60" i="4"/>
  <c r="D58" i="4"/>
  <c r="D51" i="4"/>
  <c r="D42" i="4"/>
  <c r="D35" i="4"/>
  <c r="D26" i="4"/>
  <c r="D19" i="4"/>
  <c r="D66" i="4"/>
  <c r="C11" i="4"/>
  <c r="G11" i="4"/>
  <c r="B12" i="4" s="1"/>
  <c r="G71" i="5" l="1"/>
  <c r="I69" i="5"/>
  <c r="I67" i="5"/>
  <c r="I65" i="5"/>
  <c r="I63" i="5"/>
  <c r="I61" i="5"/>
  <c r="I59" i="5"/>
  <c r="I57" i="5"/>
  <c r="I55" i="5"/>
  <c r="I53" i="5"/>
  <c r="I51" i="5"/>
  <c r="I49" i="5"/>
  <c r="I47" i="5"/>
  <c r="I45" i="5"/>
  <c r="I43" i="5"/>
  <c r="I41" i="5"/>
  <c r="I68" i="5"/>
  <c r="I66" i="5"/>
  <c r="I64" i="5"/>
  <c r="I62" i="5"/>
  <c r="I60" i="5"/>
  <c r="I58" i="5"/>
  <c r="I56" i="5"/>
  <c r="I54" i="5"/>
  <c r="I52" i="5"/>
  <c r="I50" i="5"/>
  <c r="I48" i="5"/>
  <c r="I46" i="5"/>
  <c r="I44" i="5"/>
  <c r="I42" i="5"/>
  <c r="I40" i="5"/>
  <c r="B21" i="5"/>
  <c r="C12" i="4"/>
  <c r="E12" i="4" s="1"/>
  <c r="F12" i="4" s="1"/>
  <c r="G12" i="4"/>
  <c r="B13" i="4" s="1"/>
  <c r="E68" i="5"/>
  <c r="E66" i="5"/>
  <c r="E64" i="5"/>
  <c r="E62" i="5"/>
  <c r="E60" i="5"/>
  <c r="E58" i="5"/>
  <c r="E56" i="5"/>
  <c r="E54" i="5"/>
  <c r="E52" i="5"/>
  <c r="E50" i="5"/>
  <c r="E48" i="5"/>
  <c r="E46" i="5"/>
  <c r="E44" i="5"/>
  <c r="E42" i="5"/>
  <c r="E40" i="5"/>
  <c r="E69" i="5"/>
  <c r="E67" i="5"/>
  <c r="E65" i="5"/>
  <c r="E63" i="5"/>
  <c r="E61" i="5"/>
  <c r="E59" i="5"/>
  <c r="E57" i="5"/>
  <c r="E55" i="5"/>
  <c r="E53" i="5"/>
  <c r="E51" i="5"/>
  <c r="E49" i="5"/>
  <c r="E47" i="5"/>
  <c r="E45" i="5"/>
  <c r="E43" i="5"/>
  <c r="E41" i="5"/>
  <c r="B13" i="5"/>
  <c r="E11" i="4"/>
  <c r="F11" i="4" s="1"/>
  <c r="M40" i="5"/>
  <c r="U41" i="5" l="1"/>
  <c r="U44" i="5"/>
  <c r="U45" i="5"/>
  <c r="U61" i="5"/>
  <c r="U46" i="5"/>
  <c r="U62" i="5"/>
  <c r="U63" i="5"/>
  <c r="U48" i="5"/>
  <c r="U64" i="5"/>
  <c r="U57" i="5"/>
  <c r="U43" i="5"/>
  <c r="I71" i="5"/>
  <c r="U52" i="5"/>
  <c r="U42" i="5"/>
  <c r="U59" i="5"/>
  <c r="U60" i="5"/>
  <c r="U47" i="5"/>
  <c r="U49" i="5"/>
  <c r="U65" i="5"/>
  <c r="U50" i="5"/>
  <c r="U66" i="5"/>
  <c r="U51" i="5"/>
  <c r="U67" i="5"/>
  <c r="U68" i="5"/>
  <c r="U54" i="5"/>
  <c r="U53" i="5"/>
  <c r="U69" i="5"/>
  <c r="H69" i="5"/>
  <c r="H67" i="5"/>
  <c r="H65" i="5"/>
  <c r="H63" i="5"/>
  <c r="H61" i="5"/>
  <c r="H59" i="5"/>
  <c r="H57" i="5"/>
  <c r="H55" i="5"/>
  <c r="H53" i="5"/>
  <c r="H51" i="5"/>
  <c r="H49" i="5"/>
  <c r="H47" i="5"/>
  <c r="H45" i="5"/>
  <c r="H43" i="5"/>
  <c r="H41" i="5"/>
  <c r="H68" i="5"/>
  <c r="H66" i="5"/>
  <c r="H64" i="5"/>
  <c r="H62" i="5"/>
  <c r="H60" i="5"/>
  <c r="H58" i="5"/>
  <c r="H56" i="5"/>
  <c r="H52" i="5"/>
  <c r="H50" i="5"/>
  <c r="H48" i="5"/>
  <c r="H46" i="5"/>
  <c r="H44" i="5"/>
  <c r="H40" i="5"/>
  <c r="B22" i="5"/>
  <c r="B23" i="5" s="1"/>
  <c r="B25" i="5" s="1"/>
  <c r="B26" i="5" s="1"/>
  <c r="H54" i="5"/>
  <c r="H42" i="5"/>
  <c r="U55" i="5"/>
  <c r="G5" i="5"/>
  <c r="E71" i="5"/>
  <c r="U40" i="5"/>
  <c r="U56" i="5"/>
  <c r="C13" i="4"/>
  <c r="E13" i="4" s="1"/>
  <c r="F13" i="4" s="1"/>
  <c r="G13" i="4"/>
  <c r="B14" i="4" s="1"/>
  <c r="U58" i="5"/>
  <c r="F65" i="5" l="1"/>
  <c r="J65" i="5" s="1"/>
  <c r="F61" i="5"/>
  <c r="J61" i="5" s="1"/>
  <c r="F57" i="5"/>
  <c r="J57" i="5" s="1"/>
  <c r="F47" i="5"/>
  <c r="J47" i="5" s="1"/>
  <c r="F40" i="5"/>
  <c r="F54" i="5"/>
  <c r="J54" i="5" s="1"/>
  <c r="F45" i="5"/>
  <c r="J45" i="5" s="1"/>
  <c r="F69" i="5"/>
  <c r="J69" i="5" s="1"/>
  <c r="F68" i="5"/>
  <c r="J68" i="5" s="1"/>
  <c r="F64" i="5"/>
  <c r="J64" i="5" s="1"/>
  <c r="F60" i="5"/>
  <c r="J60" i="5" s="1"/>
  <c r="F56" i="5"/>
  <c r="J56" i="5" s="1"/>
  <c r="F52" i="5"/>
  <c r="J52" i="5" s="1"/>
  <c r="F43" i="5"/>
  <c r="J43" i="5" s="1"/>
  <c r="F50" i="5"/>
  <c r="J50" i="5" s="1"/>
  <c r="F41" i="5"/>
  <c r="J41" i="5" s="1"/>
  <c r="F67" i="5"/>
  <c r="J67" i="5" s="1"/>
  <c r="F63" i="5"/>
  <c r="J63" i="5" s="1"/>
  <c r="F59" i="5"/>
  <c r="J59" i="5" s="1"/>
  <c r="F55" i="5"/>
  <c r="J55" i="5" s="1"/>
  <c r="F48" i="5"/>
  <c r="J48" i="5" s="1"/>
  <c r="F53" i="5"/>
  <c r="J53" i="5" s="1"/>
  <c r="F46" i="5"/>
  <c r="J46" i="5" s="1"/>
  <c r="F66" i="5"/>
  <c r="J66" i="5" s="1"/>
  <c r="F62" i="5"/>
  <c r="J62" i="5" s="1"/>
  <c r="F58" i="5"/>
  <c r="J58" i="5" s="1"/>
  <c r="F51" i="5"/>
  <c r="J51" i="5" s="1"/>
  <c r="F44" i="5"/>
  <c r="J44" i="5" s="1"/>
  <c r="F49" i="5"/>
  <c r="J49" i="5" s="1"/>
  <c r="F42" i="5"/>
  <c r="J42" i="5" s="1"/>
  <c r="H71" i="5"/>
  <c r="C14" i="4"/>
  <c r="E14" i="4" s="1"/>
  <c r="F14" i="4" s="1"/>
  <c r="G14" i="4"/>
  <c r="B15" i="4" s="1"/>
  <c r="Q53" i="5" l="1"/>
  <c r="Q54" i="5"/>
  <c r="Q50" i="5"/>
  <c r="Q42" i="5"/>
  <c r="Q49" i="5"/>
  <c r="Q52" i="5"/>
  <c r="Q44" i="5"/>
  <c r="Q56" i="5"/>
  <c r="Q51" i="5"/>
  <c r="Q59" i="5"/>
  <c r="Q57" i="5"/>
  <c r="Q58" i="5"/>
  <c r="Q63" i="5"/>
  <c r="Q61" i="5"/>
  <c r="Q62" i="5"/>
  <c r="Q67" i="5"/>
  <c r="Q68" i="5"/>
  <c r="Q65" i="5"/>
  <c r="Q46" i="5"/>
  <c r="Q45" i="5"/>
  <c r="Q43" i="5"/>
  <c r="Q48" i="5"/>
  <c r="F71" i="5"/>
  <c r="J40" i="5"/>
  <c r="Q55" i="5"/>
  <c r="Q47" i="5"/>
  <c r="Q60" i="5"/>
  <c r="C15" i="4"/>
  <c r="E15" i="4" s="1"/>
  <c r="F15" i="4" s="1"/>
  <c r="G15" i="4"/>
  <c r="B16" i="4" s="1"/>
  <c r="Q64" i="5"/>
  <c r="Q66" i="5"/>
  <c r="Q41" i="5"/>
  <c r="Q69" i="5"/>
  <c r="G16" i="4" l="1"/>
  <c r="B17" i="4" s="1"/>
  <c r="C16" i="4"/>
  <c r="E16" i="4" s="1"/>
  <c r="F16" i="4" s="1"/>
  <c r="B8" i="4" s="1"/>
  <c r="M15" i="3"/>
  <c r="M16" i="3" s="1"/>
  <c r="J71" i="5"/>
  <c r="Q40" i="5"/>
  <c r="N40" i="5"/>
  <c r="Q71" i="5" l="1"/>
  <c r="C17" i="4"/>
  <c r="E17" i="4" s="1"/>
  <c r="G17" i="4"/>
  <c r="B18" i="4" s="1"/>
  <c r="P40" i="5"/>
  <c r="O40" i="5"/>
  <c r="K41" i="5" l="1"/>
  <c r="W40" i="5"/>
  <c r="G18" i="4"/>
  <c r="B19" i="4" s="1"/>
  <c r="C18" i="4"/>
  <c r="E18" i="4" s="1"/>
  <c r="V40" i="5"/>
  <c r="C77" i="5"/>
  <c r="R40" i="5"/>
  <c r="G19" i="4" l="1"/>
  <c r="B20" i="4" s="1"/>
  <c r="C19" i="4"/>
  <c r="E19" i="4" s="1"/>
  <c r="L41" i="5"/>
  <c r="M41" i="5" l="1"/>
  <c r="C20" i="4"/>
  <c r="E20" i="4" s="1"/>
  <c r="G20" i="4"/>
  <c r="B21" i="4" s="1"/>
  <c r="G21" i="4" l="1"/>
  <c r="B22" i="4" s="1"/>
  <c r="C21" i="4"/>
  <c r="E21" i="4" s="1"/>
  <c r="N41" i="5"/>
  <c r="O41" i="5" l="1"/>
  <c r="P41" i="5"/>
  <c r="C22" i="4"/>
  <c r="E22" i="4" s="1"/>
  <c r="G22" i="4"/>
  <c r="B23" i="4" s="1"/>
  <c r="C23" i="4" l="1"/>
  <c r="E23" i="4" s="1"/>
  <c r="G23" i="4"/>
  <c r="B24" i="4" s="1"/>
  <c r="W41" i="5"/>
  <c r="K42" i="5"/>
  <c r="R41" i="5"/>
  <c r="D77" i="5"/>
  <c r="V41" i="5"/>
  <c r="L42" i="5" l="1"/>
  <c r="G24" i="4"/>
  <c r="B25" i="4" s="1"/>
  <c r="C24" i="4"/>
  <c r="E24" i="4" s="1"/>
  <c r="M42" i="5" l="1"/>
  <c r="C25" i="4"/>
  <c r="E25" i="4" s="1"/>
  <c r="G25" i="4"/>
  <c r="B26" i="4" s="1"/>
  <c r="G26" i="4" l="1"/>
  <c r="B27" i="4" s="1"/>
  <c r="C26" i="4"/>
  <c r="E26" i="4" s="1"/>
  <c r="N42" i="5"/>
  <c r="O42" i="5" l="1"/>
  <c r="P42" i="5"/>
  <c r="G27" i="4"/>
  <c r="B28" i="4" s="1"/>
  <c r="C27" i="4"/>
  <c r="E27" i="4" s="1"/>
  <c r="C28" i="4" l="1"/>
  <c r="E28" i="4" s="1"/>
  <c r="G28" i="4"/>
  <c r="B29" i="4" s="1"/>
  <c r="K43" i="5"/>
  <c r="W42" i="5"/>
  <c r="R42" i="5"/>
  <c r="V42" i="5"/>
  <c r="E77" i="5"/>
  <c r="L43" i="5" l="1"/>
  <c r="M43" i="5" s="1"/>
  <c r="C29" i="4"/>
  <c r="E29" i="4" s="1"/>
  <c r="G29" i="4"/>
  <c r="B30" i="4" s="1"/>
  <c r="N43" i="5" l="1"/>
  <c r="C30" i="4"/>
  <c r="E30" i="4" s="1"/>
  <c r="G30" i="4"/>
  <c r="B31" i="4" s="1"/>
  <c r="C31" i="4" l="1"/>
  <c r="E31" i="4" s="1"/>
  <c r="G31" i="4"/>
  <c r="B32" i="4" s="1"/>
  <c r="O43" i="5"/>
  <c r="P43" i="5"/>
  <c r="W43" i="5" l="1"/>
  <c r="K44" i="5"/>
  <c r="R43" i="5"/>
  <c r="F77" i="5"/>
  <c r="V43" i="5"/>
  <c r="G32" i="4"/>
  <c r="B33" i="4" s="1"/>
  <c r="C32" i="4"/>
  <c r="E32" i="4" s="1"/>
  <c r="C33" i="4" l="1"/>
  <c r="E33" i="4" s="1"/>
  <c r="G33" i="4"/>
  <c r="B34" i="4" s="1"/>
  <c r="L44" i="5"/>
  <c r="M44" i="5" s="1"/>
  <c r="N44" i="5" l="1"/>
  <c r="G34" i="4"/>
  <c r="B35" i="4" s="1"/>
  <c r="C34" i="4"/>
  <c r="E34" i="4" s="1"/>
  <c r="G35" i="4" l="1"/>
  <c r="B36" i="4" s="1"/>
  <c r="C35" i="4"/>
  <c r="E35" i="4" s="1"/>
  <c r="O44" i="5"/>
  <c r="P44" i="5"/>
  <c r="W44" i="5" l="1"/>
  <c r="K45" i="5"/>
  <c r="R44" i="5"/>
  <c r="V44" i="5"/>
  <c r="G77" i="5"/>
  <c r="C36" i="4"/>
  <c r="E36" i="4" s="1"/>
  <c r="G36" i="4"/>
  <c r="B37" i="4" s="1"/>
  <c r="L45" i="5" l="1"/>
  <c r="M45" i="5" s="1"/>
  <c r="G37" i="4"/>
  <c r="B38" i="4" s="1"/>
  <c r="C37" i="4"/>
  <c r="E37" i="4" s="1"/>
  <c r="N45" i="5" l="1"/>
  <c r="O45" i="5" s="1"/>
  <c r="C38" i="4"/>
  <c r="E38" i="4" s="1"/>
  <c r="G38" i="4"/>
  <c r="B39" i="4" s="1"/>
  <c r="C39" i="4" l="1"/>
  <c r="E39" i="4" s="1"/>
  <c r="G39" i="4"/>
  <c r="B40" i="4" s="1"/>
  <c r="H77" i="5"/>
  <c r="V45" i="5"/>
  <c r="P45" i="5"/>
  <c r="K46" i="5" l="1"/>
  <c r="W45" i="5"/>
  <c r="R45" i="5"/>
  <c r="G40" i="4"/>
  <c r="B41" i="4" s="1"/>
  <c r="C40" i="4"/>
  <c r="E40" i="4" s="1"/>
  <c r="G41" i="4" l="1"/>
  <c r="B42" i="4" s="1"/>
  <c r="C41" i="4"/>
  <c r="E41" i="4" s="1"/>
  <c r="L46" i="5"/>
  <c r="M46" i="5" s="1"/>
  <c r="N46" i="5" l="1"/>
  <c r="O46" i="5" s="1"/>
  <c r="G42" i="4"/>
  <c r="B43" i="4" s="1"/>
  <c r="C42" i="4"/>
  <c r="E42" i="4" s="1"/>
  <c r="G43" i="4" l="1"/>
  <c r="B44" i="4" s="1"/>
  <c r="C43" i="4"/>
  <c r="E43" i="4" s="1"/>
  <c r="V46" i="5"/>
  <c r="I77" i="5"/>
  <c r="P46" i="5"/>
  <c r="W46" i="5" l="1"/>
  <c r="K47" i="5"/>
  <c r="R46" i="5"/>
  <c r="C44" i="4"/>
  <c r="E44" i="4" s="1"/>
  <c r="G44" i="4"/>
  <c r="B45" i="4" s="1"/>
  <c r="C45" i="4" l="1"/>
  <c r="E45" i="4" s="1"/>
  <c r="G45" i="4"/>
  <c r="B46" i="4" s="1"/>
  <c r="L47" i="5"/>
  <c r="M47" i="5" s="1"/>
  <c r="N47" i="5" l="1"/>
  <c r="O47" i="5" s="1"/>
  <c r="C46" i="4"/>
  <c r="E46" i="4" s="1"/>
  <c r="G46" i="4"/>
  <c r="B47" i="4" s="1"/>
  <c r="C47" i="4" l="1"/>
  <c r="E47" i="4" s="1"/>
  <c r="G47" i="4"/>
  <c r="B48" i="4" s="1"/>
  <c r="V47" i="5"/>
  <c r="J77" i="5"/>
  <c r="P47" i="5"/>
  <c r="K48" i="5" l="1"/>
  <c r="W47" i="5"/>
  <c r="R47" i="5"/>
  <c r="G48" i="4"/>
  <c r="B49" i="4" s="1"/>
  <c r="C48" i="4"/>
  <c r="E48" i="4" s="1"/>
  <c r="C49" i="4" l="1"/>
  <c r="E49" i="4" s="1"/>
  <c r="G49" i="4"/>
  <c r="B50" i="4" s="1"/>
  <c r="L48" i="5"/>
  <c r="M48" i="5" s="1"/>
  <c r="N48" i="5" l="1"/>
  <c r="O48" i="5" s="1"/>
  <c r="G50" i="4"/>
  <c r="B51" i="4" s="1"/>
  <c r="C50" i="4"/>
  <c r="E50" i="4" s="1"/>
  <c r="G51" i="4" l="1"/>
  <c r="B52" i="4" s="1"/>
  <c r="C51" i="4"/>
  <c r="E51" i="4" s="1"/>
  <c r="V48" i="5"/>
  <c r="K77" i="5"/>
  <c r="P48" i="5"/>
  <c r="W48" i="5" l="1"/>
  <c r="K49" i="5"/>
  <c r="R48" i="5"/>
  <c r="C52" i="4"/>
  <c r="E52" i="4" s="1"/>
  <c r="G52" i="4"/>
  <c r="B53" i="4" s="1"/>
  <c r="G53" i="4" l="1"/>
  <c r="B54" i="4" s="1"/>
  <c r="C53" i="4"/>
  <c r="E53" i="4" s="1"/>
  <c r="L49" i="5"/>
  <c r="M49" i="5" s="1"/>
  <c r="N49" i="5" l="1"/>
  <c r="O49" i="5" s="1"/>
  <c r="C54" i="4"/>
  <c r="E54" i="4" s="1"/>
  <c r="G54" i="4"/>
  <c r="B55" i="4" s="1"/>
  <c r="C55" i="4" l="1"/>
  <c r="E55" i="4" s="1"/>
  <c r="G55" i="4"/>
  <c r="B56" i="4" s="1"/>
  <c r="L77" i="5"/>
  <c r="V49" i="5"/>
  <c r="P49" i="5"/>
  <c r="W49" i="5" l="1"/>
  <c r="K50" i="5"/>
  <c r="R49" i="5"/>
  <c r="G56" i="4"/>
  <c r="B57" i="4" s="1"/>
  <c r="C56" i="4"/>
  <c r="E56" i="4" s="1"/>
  <c r="C57" i="4" l="1"/>
  <c r="E57" i="4" s="1"/>
  <c r="G57" i="4"/>
  <c r="B58" i="4" s="1"/>
  <c r="L50" i="5"/>
  <c r="M50" i="5" s="1"/>
  <c r="N50" i="5" l="1"/>
  <c r="O50" i="5" s="1"/>
  <c r="G58" i="4"/>
  <c r="B59" i="4" s="1"/>
  <c r="C58" i="4"/>
  <c r="E58" i="4" s="1"/>
  <c r="G59" i="4" l="1"/>
  <c r="B60" i="4" s="1"/>
  <c r="C59" i="4"/>
  <c r="E59" i="4" s="1"/>
  <c r="V50" i="5"/>
  <c r="M77" i="5"/>
  <c r="P50" i="5"/>
  <c r="W50" i="5" l="1"/>
  <c r="K51" i="5"/>
  <c r="R50" i="5"/>
  <c r="C60" i="4"/>
  <c r="E60" i="4" s="1"/>
  <c r="G60" i="4"/>
  <c r="B61" i="4" s="1"/>
  <c r="G61" i="4" l="1"/>
  <c r="B62" i="4" s="1"/>
  <c r="C61" i="4"/>
  <c r="E61" i="4" s="1"/>
  <c r="L51" i="5"/>
  <c r="M51" i="5" s="1"/>
  <c r="N51" i="5" l="1"/>
  <c r="O51" i="5" s="1"/>
  <c r="C62" i="4"/>
  <c r="E62" i="4" s="1"/>
  <c r="G62" i="4"/>
  <c r="B63" i="4" s="1"/>
  <c r="C63" i="4" l="1"/>
  <c r="E63" i="4" s="1"/>
  <c r="G63" i="4"/>
  <c r="B64" i="4" s="1"/>
  <c r="N77" i="5"/>
  <c r="V51" i="5"/>
  <c r="P51" i="5"/>
  <c r="W51" i="5" l="1"/>
  <c r="K52" i="5"/>
  <c r="R51" i="5"/>
  <c r="G64" i="4"/>
  <c r="B65" i="4" s="1"/>
  <c r="C64" i="4"/>
  <c r="E64" i="4" s="1"/>
  <c r="G65" i="4" l="1"/>
  <c r="B66" i="4" s="1"/>
  <c r="C65" i="4"/>
  <c r="E65" i="4" s="1"/>
  <c r="L52" i="5"/>
  <c r="M52" i="5" s="1"/>
  <c r="N52" i="5" l="1"/>
  <c r="O52" i="5" s="1"/>
  <c r="G66" i="4"/>
  <c r="B67" i="4" s="1"/>
  <c r="C66" i="4"/>
  <c r="E66" i="4" s="1"/>
  <c r="G67" i="4" l="1"/>
  <c r="B68" i="4" s="1"/>
  <c r="C67" i="4"/>
  <c r="E67" i="4" s="1"/>
  <c r="V52" i="5"/>
  <c r="O77" i="5"/>
  <c r="P52" i="5"/>
  <c r="W52" i="5" l="1"/>
  <c r="K53" i="5"/>
  <c r="R52" i="5"/>
  <c r="G68" i="4"/>
  <c r="B69" i="4" s="1"/>
  <c r="C68" i="4"/>
  <c r="E68" i="4" s="1"/>
  <c r="C69" i="4" l="1"/>
  <c r="E69" i="4" s="1"/>
  <c r="G69" i="4"/>
  <c r="B70" i="4" s="1"/>
  <c r="L53" i="5"/>
  <c r="M53" i="5" s="1"/>
  <c r="N53" i="5" l="1"/>
  <c r="O53" i="5" s="1"/>
  <c r="C70" i="4"/>
  <c r="E70" i="4" s="1"/>
  <c r="G70" i="4"/>
  <c r="P77" i="5" l="1"/>
  <c r="V53" i="5"/>
  <c r="P53" i="5"/>
  <c r="W53" i="5" l="1"/>
  <c r="K54" i="5"/>
  <c r="R53" i="5"/>
  <c r="L54" i="5" l="1"/>
  <c r="M54" i="5" s="1"/>
  <c r="N54" i="5" l="1"/>
  <c r="O54" i="5" s="1"/>
  <c r="V54" i="5" l="1"/>
  <c r="Q77" i="5"/>
  <c r="P54" i="5"/>
  <c r="K55" i="5" l="1"/>
  <c r="W54" i="5"/>
  <c r="R54" i="5"/>
  <c r="L55" i="5" l="1"/>
  <c r="M55" i="5" s="1"/>
  <c r="N55" i="5" l="1"/>
  <c r="O55" i="5" s="1"/>
  <c r="V55" i="5" l="1"/>
  <c r="R77" i="5"/>
  <c r="P55" i="5"/>
  <c r="W55" i="5" l="1"/>
  <c r="K56" i="5"/>
  <c r="R55" i="5"/>
  <c r="L56" i="5" l="1"/>
  <c r="M56" i="5" s="1"/>
  <c r="N56" i="5" l="1"/>
  <c r="O56" i="5" s="1"/>
  <c r="V56" i="5" l="1"/>
  <c r="S77" i="5"/>
  <c r="P56" i="5"/>
  <c r="W56" i="5" l="1"/>
  <c r="K57" i="5"/>
  <c r="R56" i="5"/>
  <c r="L57" i="5" l="1"/>
  <c r="M57" i="5" s="1"/>
  <c r="N57" i="5" l="1"/>
  <c r="O57" i="5" s="1"/>
  <c r="T77" i="5" l="1"/>
  <c r="V57" i="5"/>
  <c r="P57" i="5"/>
  <c r="W57" i="5" l="1"/>
  <c r="K58" i="5"/>
  <c r="R57" i="5"/>
  <c r="L58" i="5" l="1"/>
  <c r="M58" i="5" s="1"/>
  <c r="N58" i="5" l="1"/>
  <c r="O58" i="5" s="1"/>
  <c r="V58" i="5" l="1"/>
  <c r="U77" i="5"/>
  <c r="P58" i="5"/>
  <c r="K59" i="5" l="1"/>
  <c r="W58" i="5"/>
  <c r="R58" i="5"/>
  <c r="L59" i="5" l="1"/>
  <c r="M59" i="5" s="1"/>
  <c r="N59" i="5" l="1"/>
  <c r="O59" i="5" s="1"/>
  <c r="V77" i="5" l="1"/>
  <c r="V59" i="5"/>
  <c r="P59" i="5"/>
  <c r="W59" i="5" l="1"/>
  <c r="K60" i="5"/>
  <c r="R59" i="5"/>
  <c r="L60" i="5" l="1"/>
  <c r="M60" i="5" s="1"/>
  <c r="N60" i="5" l="1"/>
  <c r="O60" i="5" s="1"/>
  <c r="V60" i="5" l="1"/>
  <c r="W77" i="5"/>
  <c r="P60" i="5"/>
  <c r="W60" i="5" l="1"/>
  <c r="K61" i="5"/>
  <c r="R60" i="5"/>
  <c r="L61" i="5" l="1"/>
  <c r="M61" i="5" s="1"/>
  <c r="N61" i="5" l="1"/>
  <c r="O61" i="5" s="1"/>
  <c r="X77" i="5" l="1"/>
  <c r="V61" i="5"/>
  <c r="P61" i="5"/>
  <c r="W61" i="5" l="1"/>
  <c r="K62" i="5"/>
  <c r="R61" i="5"/>
  <c r="L62" i="5" l="1"/>
  <c r="M62" i="5" s="1"/>
  <c r="N62" i="5" l="1"/>
  <c r="O62" i="5" s="1"/>
  <c r="V62" i="5" l="1"/>
  <c r="Y77" i="5"/>
  <c r="P62" i="5"/>
  <c r="K63" i="5" l="1"/>
  <c r="W62" i="5"/>
  <c r="R62" i="5"/>
  <c r="L63" i="5" l="1"/>
  <c r="M63" i="5" s="1"/>
  <c r="N63" i="5" l="1"/>
  <c r="O63" i="5" s="1"/>
  <c r="V63" i="5" l="1"/>
  <c r="Z77" i="5"/>
  <c r="P63" i="5"/>
  <c r="W63" i="5" l="1"/>
  <c r="K64" i="5"/>
  <c r="R63" i="5"/>
  <c r="L64" i="5" l="1"/>
  <c r="M64" i="5" s="1"/>
  <c r="N64" i="5" l="1"/>
  <c r="O64" i="5" s="1"/>
  <c r="V64" i="5" l="1"/>
  <c r="AA77" i="5"/>
  <c r="P64" i="5"/>
  <c r="W64" i="5" l="1"/>
  <c r="K65" i="5"/>
  <c r="R64" i="5"/>
  <c r="L65" i="5" l="1"/>
  <c r="M65" i="5" s="1"/>
  <c r="N65" i="5" l="1"/>
  <c r="O65" i="5" s="1"/>
  <c r="AB77" i="5" l="1"/>
  <c r="V65" i="5"/>
  <c r="P65" i="5"/>
  <c r="W65" i="5" l="1"/>
  <c r="K66" i="5"/>
  <c r="R65" i="5"/>
  <c r="L66" i="5" l="1"/>
  <c r="M66" i="5" s="1"/>
  <c r="N66" i="5" l="1"/>
  <c r="O66" i="5" s="1"/>
  <c r="V66" i="5" l="1"/>
  <c r="AC77" i="5"/>
  <c r="P66" i="5"/>
  <c r="K67" i="5" l="1"/>
  <c r="W66" i="5"/>
  <c r="R66" i="5"/>
  <c r="L67" i="5" l="1"/>
  <c r="M67" i="5" s="1"/>
  <c r="N67" i="5" l="1"/>
  <c r="O67" i="5" s="1"/>
  <c r="AD77" i="5" l="1"/>
  <c r="V67" i="5"/>
  <c r="P67" i="5"/>
  <c r="W67" i="5" l="1"/>
  <c r="K68" i="5"/>
  <c r="R67" i="5"/>
  <c r="L68" i="5" l="1"/>
  <c r="M68" i="5" s="1"/>
  <c r="N68" i="5" l="1"/>
  <c r="O68" i="5" s="1"/>
  <c r="V68" i="5" l="1"/>
  <c r="AE77" i="5"/>
  <c r="P68" i="5"/>
  <c r="W68" i="5" l="1"/>
  <c r="K69" i="5"/>
  <c r="R68" i="5"/>
  <c r="L69" i="5" l="1"/>
  <c r="L71" i="5" s="1"/>
  <c r="M69" i="5" l="1"/>
  <c r="N69" i="5" l="1"/>
  <c r="O69" i="5" l="1"/>
  <c r="N71" i="5"/>
  <c r="P69" i="5"/>
  <c r="P71" i="5" l="1"/>
  <c r="W69" i="5"/>
  <c r="G7" i="5"/>
  <c r="R69" i="5"/>
  <c r="AF77" i="5"/>
  <c r="G11" i="5" s="1"/>
  <c r="G12" i="5" s="1"/>
  <c r="B16" i="1" s="1"/>
  <c r="V69" i="5"/>
  <c r="G9" i="5"/>
  <c r="G10" i="5" s="1"/>
  <c r="O71" i="5"/>
  <c r="G8" i="5"/>
  <c r="G15" i="5" l="1"/>
  <c r="E17" i="1" s="1"/>
  <c r="E15" i="1"/>
</calcChain>
</file>

<file path=xl/sharedStrings.xml><?xml version="1.0" encoding="utf-8"?>
<sst xmlns="http://schemas.openxmlformats.org/spreadsheetml/2006/main" count="299" uniqueCount="241">
  <si>
    <t>Dashboard financiero - Asís PerSe</t>
  </si>
  <si>
    <t>Proyecto</t>
  </si>
  <si>
    <t>Asís PerSe</t>
  </si>
  <si>
    <t>Ubicación</t>
  </si>
  <si>
    <t>Providencia, Guadalajara</t>
  </si>
  <si>
    <t>Desarrollador</t>
  </si>
  <si>
    <t>PerSe Capital</t>
  </si>
  <si>
    <t>Inversión total</t>
  </si>
  <si>
    <t>Tasa anual fija</t>
  </si>
  <si>
    <t>TIR deuda anualizada</t>
  </si>
  <si>
    <t>Estudios</t>
  </si>
  <si>
    <t>Ocupación base</t>
  </si>
  <si>
    <t>Ingreso anual base</t>
  </si>
  <si>
    <t>Estructura de capital</t>
  </si>
  <si>
    <t>Monto</t>
  </si>
  <si>
    <t>Indicador de mercado</t>
  </si>
  <si>
    <t>Mercado/Zona</t>
  </si>
  <si>
    <t>Costo por noche</t>
  </si>
  <si>
    <t>Ocupación</t>
  </si>
  <si>
    <t>Ingreso mensual</t>
  </si>
  <si>
    <t>Ingreso anual</t>
  </si>
  <si>
    <t>Modelo financiero preliminar - Asís PerSe</t>
  </si>
  <si>
    <t>C. Asís 776, Italia Providencia, Guadalajara, Jalisco</t>
  </si>
  <si>
    <t>Datos del proyecto</t>
  </si>
  <si>
    <t>Escenarios de operación</t>
  </si>
  <si>
    <t>Escenario</t>
  </si>
  <si>
    <t>Tarifa por noche</t>
  </si>
  <si>
    <t>Costo operativo</t>
  </si>
  <si>
    <t>Número de estudios</t>
  </si>
  <si>
    <t>Optimista</t>
  </si>
  <si>
    <t>Participaciones totales</t>
  </si>
  <si>
    <t>Base</t>
  </si>
  <si>
    <t>Participaciones vendidas</t>
  </si>
  <si>
    <t>Conservador</t>
  </si>
  <si>
    <t>Avance de obra</t>
  </si>
  <si>
    <t>Mercado y venta</t>
  </si>
  <si>
    <t>Deuda senior</t>
  </si>
  <si>
    <t>Concepto</t>
  </si>
  <si>
    <t>Unidad</t>
  </si>
  <si>
    <t>Capital del desarrollador</t>
  </si>
  <si>
    <t>MXN</t>
  </si>
  <si>
    <t>Preventa</t>
  </si>
  <si>
    <t>%</t>
  </si>
  <si>
    <t>Suma de fuentes</t>
  </si>
  <si>
    <t>Ingreso mensual por habitación</t>
  </si>
  <si>
    <t>Diferencia vs inversión total</t>
  </si>
  <si>
    <t>Ingreso anual por habitación</t>
  </si>
  <si>
    <t>Precio por m²</t>
  </si>
  <si>
    <t>MXN/m²</t>
  </si>
  <si>
    <t>Condiciones de deuda / briq.mx</t>
  </si>
  <si>
    <t>Plazo de financiamiento (meses)</t>
  </si>
  <si>
    <t>Pago de intereses</t>
  </si>
  <si>
    <t>Trimestral</t>
  </si>
  <si>
    <t>Comisión briq.mx capital</t>
  </si>
  <si>
    <t>Comisión briq.mx intereses</t>
  </si>
  <si>
    <t>Valor garantía actual</t>
  </si>
  <si>
    <t>Garantía / crédito</t>
  </si>
  <si>
    <t>Supuestos operativos</t>
  </si>
  <si>
    <t>Tarifa por noche base</t>
  </si>
  <si>
    <t>Ingreso anual total base</t>
  </si>
  <si>
    <t>Crecimiento anual tarifa</t>
  </si>
  <si>
    <t>Costo operativo sobre ingresos</t>
  </si>
  <si>
    <t>Impuesto sobre utilidad</t>
  </si>
  <si>
    <t>Cap rate terminal</t>
  </si>
  <si>
    <t>Tasa de descuento proyecto</t>
  </si>
  <si>
    <t>Supuestos trimestrales de construcción y financiamiento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</si>
  <si>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</si>
  <si>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</si>
  <si>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</si>
  <si>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</si>
  <si>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</si>
  <si>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</si>
  <si>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</si>
  <si>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</si>
  <si>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</si>
  <si>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</si>
  <si>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</si>
  <si>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</si>
  <si>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Año</t>
  </si>
  <si>
    <t>Inicio periodo</t>
  </si>
  <si>
    <t>Fin periodo</t>
  </si>
  <si>
    <t>Días operación</t>
  </si>
  <si>
    <t>Días del año</t>
  </si>
  <si>
    <t>No. de periodo</t>
  </si>
  <si>
    <t>Bloque</t>
  </si>
  <si>
    <t>Bloque 1 - Anticipo 30%</t>
  </si>
  <si>
    <t>Bloque 2 - 70% restante / 11</t>
  </si>
  <si>
    <t>Bloque 3 - 70% restante / 11 + reserva 6 meses</t>
  </si>
  <si>
    <t>Programa de construcción / requerimiento</t>
  </si>
  <si>
    <t>Requerimiento del proyecto</t>
  </si>
  <si>
    <t>Banco (70% del requerimiento)</t>
  </si>
  <si>
    <t>Inversionistas (30% del requerimiento)</t>
  </si>
  <si>
    <t>Fondo de reserva 6 meses</t>
  </si>
  <si>
    <t>Total requerido con reserva</t>
  </si>
  <si>
    <t>Explicación del cálculo</t>
  </si>
  <si>
    <t>1) Se toma como base la inversión total del proyecto registrada en Control!B8.</t>
  </si>
  <si>
    <t>2) Q1 = 30% de la inversión total.</t>
  </si>
  <si>
    <t>3) Q2 a Q12 = el 70% restante dividido entre 11 trimestres.</t>
  </si>
  <si>
    <t>4) En cada trimestre: banco aporta 70% del requerimiento e inversionistas 30%. En Q12 se suma el fondo de reserva de 6 meses.</t>
  </si>
  <si>
    <t>Calendario de amortización mensual - 60 meses</t>
  </si>
  <si>
    <t>Principal deuda senior</t>
  </si>
  <si>
    <t xml:space="preserve">70% del banco </t>
  </si>
  <si>
    <t>Tasa anual para cálculo de clase</t>
  </si>
  <si>
    <t>Plazo de amortización (meses)</t>
  </si>
  <si>
    <t>Tasa mensual</t>
  </si>
  <si>
    <t>Amortización mensual</t>
  </si>
  <si>
    <t>Mes</t>
  </si>
  <si>
    <t>Saldo inicial</t>
  </si>
  <si>
    <t>Interés</t>
  </si>
  <si>
    <t>Amortización</t>
  </si>
  <si>
    <t>Servicio de deuda</t>
  </si>
  <si>
    <t>Fondo reserva 6M</t>
  </si>
  <si>
    <t>Saldo insoluto</t>
  </si>
  <si>
    <t>Comentario</t>
  </si>
  <si>
    <t>Resumen modelo de venta de unidades - Asís PerSe</t>
  </si>
  <si>
    <t>MAR anual</t>
  </si>
  <si>
    <t>VPN @ MAR 12%</t>
  </si>
  <si>
    <t>TIR anualizada</t>
  </si>
  <si>
    <t>Mes objetivo</t>
  </si>
  <si>
    <t>Mes deuda liquidada</t>
  </si>
  <si>
    <t>Decisión</t>
  </si>
  <si>
    <t>Modelo de venta de unidades y cascada de pagos - Asís PerSe</t>
  </si>
  <si>
    <t>Modelo ajustado con los datos del proyecto: inversión total, 38 estudios y financiamiento 70% banco / 30% inversionistas. Las celdas en azul son supuestos editables.</t>
  </si>
  <si>
    <t>Supuestos principales</t>
  </si>
  <si>
    <t>Resumen de viabilidad</t>
  </si>
  <si>
    <t>Cómo se interpreta la cascada</t>
  </si>
  <si>
    <t>Costo total del proyecto</t>
  </si>
  <si>
    <t>Ligado a Control!B8</t>
  </si>
  <si>
    <t>Ventas totales generadas</t>
  </si>
  <si>
    <t>Suma de ingresos del calendario</t>
  </si>
  <si>
    <t>1</t>
  </si>
  <si>
    <t>El banco no se paga de forma fija cada mes; si no hay ventas, el interés se capitaliza y aumenta el saldo de la deuda.</t>
  </si>
  <si>
    <t>Deuda banco 70%</t>
  </si>
  <si>
    <t>70% de la inversión total</t>
  </si>
  <si>
    <t>Unidades vendidas</t>
  </si>
  <si>
    <t>Debe coincidir con los 38 estudios</t>
  </si>
  <si>
    <t>2</t>
  </si>
  <si>
    <t>Cuando se vende una unidad, el ingreso entra a la cascada: ISR/impuestos → gastos administrativos → agencia inmobiliaria → oficinas → amortización al banco.</t>
  </si>
  <si>
    <t>Inversión socios 30%</t>
  </si>
  <si>
    <t>30% de la inversión total</t>
  </si>
  <si>
    <t>Saldo final de deuda</t>
  </si>
  <si>
    <t>Si es 0, el banco quedó liquidado</t>
  </si>
  <si>
    <t>3</t>
  </si>
  <si>
    <t>La amortización al banco toma el efectivo disponible hasta liquidar el saldo de la deuda más los intereses generados del mes.</t>
  </si>
  <si>
    <t>Número de unidades / estudios</t>
  </si>
  <si>
    <t>unidades</t>
  </si>
  <si>
    <t>Ligado a Control!B9</t>
  </si>
  <si>
    <t>Flujo libre total</t>
  </si>
  <si>
    <t>Suma de flujo libre mensual</t>
  </si>
  <si>
    <t>4</t>
  </si>
  <si>
    <t>El flujo libre de caja aparece cuando, después de la cascada, queda dinero sobrante para los inversionistas.</t>
  </si>
  <si>
    <t>Multiplicador ventas/costo</t>
  </si>
  <si>
    <t>x</t>
  </si>
  <si>
    <t>Supuesto: conserva proporción del ejemplo del maestro $25M / $16M</t>
  </si>
  <si>
    <t>Valor presente de flujos</t>
  </si>
  <si>
    <t>VP de flujos libres con MAR mensual</t>
  </si>
  <si>
    <t>5</t>
  </si>
  <si>
    <t>La viabilidad se revisa con VPN usando MAR anual de 12% y con TIR. Si TIR anualizada &gt; MAR y VPN &gt; 0, el proyecto se acepta.</t>
  </si>
  <si>
    <t>Valor total de ventas estimado</t>
  </si>
  <si>
    <t>Costo total x multiplicador</t>
  </si>
  <si>
    <t>VP de flujos - inversión de socios</t>
  </si>
  <si>
    <t>Fuente</t>
  </si>
  <si>
    <t>Datos tomados del Excel del proyecto Asís PerSe. El precio de venta se estimó manteniendo la relación ventas/costo del ejemplo del pizarrón: 25/16 = 1.5625x.</t>
  </si>
  <si>
    <t>Precio de venta por unidad</t>
  </si>
  <si>
    <t>MXN/unidad</t>
  </si>
  <si>
    <t>Ventas totales / estudios</t>
  </si>
  <si>
    <t>TIR mensual</t>
  </si>
  <si>
    <t>TIR del flujo al inversionista</t>
  </si>
  <si>
    <t>Agencia inmobiliaria</t>
  </si>
  <si>
    <t>% venta</t>
  </si>
  <si>
    <t>Equivale al ejemplo: $100,000 / $2,500,000 = 4%</t>
  </si>
  <si>
    <t>Equivalente anual compuesto</t>
  </si>
  <si>
    <t>Agencia por unidad</t>
  </si>
  <si>
    <t>Precio por unidad x comisión</t>
  </si>
  <si>
    <t>Mes objetivo con flujo libre</t>
  </si>
  <si>
    <t>Primer mes con flujo libre positivo</t>
  </si>
  <si>
    <t>Gasto administrativo</t>
  </si>
  <si>
    <t>% costo</t>
  </si>
  <si>
    <t>Equivale al ejemplo: $500,000 / $16,000,000 = 3.125%</t>
  </si>
  <si>
    <t>Primer mes con saldo final &lt;= 1</t>
  </si>
  <si>
    <t>Gasto administrativo total</t>
  </si>
  <si>
    <t>Costo total x % administrativo</t>
  </si>
  <si>
    <t>VIABLE si VPN &gt; 0 y TIR anual &gt; MAR anual</t>
  </si>
  <si>
    <t>Meses con gasto administrativo</t>
  </si>
  <si>
    <t>meses</t>
  </si>
  <si>
    <t>Estimado con venta objetivo mensual</t>
  </si>
  <si>
    <t>Venta mensual objetivo</t>
  </si>
  <si>
    <t>unidades/mes</t>
  </si>
  <si>
    <t>Editable; se usa para estimar meses de gasto</t>
  </si>
  <si>
    <t>Gasto administrativo mensual</t>
  </si>
  <si>
    <t>MXN/mes</t>
  </si>
  <si>
    <t>Gasto administrativo total / meses</t>
  </si>
  <si>
    <t>Oficinas mensual</t>
  </si>
  <si>
    <t>Editable si se desea separar oficinas</t>
  </si>
  <si>
    <t>Meses con gasto de oficinas</t>
  </si>
  <si>
    <t>Igual a meses administrativos</t>
  </si>
  <si>
    <t>Total oficinas</t>
  </si>
  <si>
    <t>Oficinas mensual x meses</t>
  </si>
  <si>
    <t>Gastos adicionales totales</t>
  </si>
  <si>
    <t>Agencia + admin + oficinas</t>
  </si>
  <si>
    <t>Utilidad gravable antes de ISR</t>
  </si>
  <si>
    <t>Ventas - costo - gastos adicionales</t>
  </si>
  <si>
    <t>ISR / impuestos</t>
  </si>
  <si>
    <t>Supuesto del maestro</t>
  </si>
  <si>
    <t>ISR total estimado</t>
  </si>
  <si>
    <t>Utilidad gravable x ISR</t>
  </si>
  <si>
    <t>ISR por unidad</t>
  </si>
  <si>
    <t>ISR total / número de unidades</t>
  </si>
  <si>
    <t>Tasa banco anual</t>
  </si>
  <si>
    <t>% anual</t>
  </si>
  <si>
    <t>Ligado a Control!B22 del proyecto</t>
  </si>
  <si>
    <t>Tasa banco mensual</t>
  </si>
  <si>
    <t>% mensual</t>
  </si>
  <si>
    <t>Tasa anual / 12</t>
  </si>
  <si>
    <t>Rendimiento mínimo aceptable solicitado</t>
  </si>
  <si>
    <t>MAR mensual efectiva</t>
  </si>
  <si>
    <t>(1 + MAR anual)^(1/12)-1</t>
  </si>
  <si>
    <t>Meses del modelo</t>
  </si>
  <si>
    <t>Ligado a Control!B23</t>
  </si>
  <si>
    <t>Calendario mensual editable de ventas y cascada de pagos</t>
  </si>
  <si>
    <t>En la columna B puedes cambiar las unidades vendidas por mes. El escenario base vende 2 unidades por mes hasta colocar los 38 estudios.</t>
  </si>
  <si>
    <t>Unidades vendidas
(editable)</t>
  </si>
  <si>
    <t>Unidades acumuladas</t>
  </si>
  <si>
    <t>Unidades restantes</t>
  </si>
  <si>
    <t>Ingreso por ventas</t>
  </si>
  <si>
    <t>Impuestos / ISR</t>
  </si>
  <si>
    <t>Gastos admin</t>
  </si>
  <si>
    <t>Oficinas</t>
  </si>
  <si>
    <t>Disponible antes banco</t>
  </si>
  <si>
    <t>Saldo deuda inicial</t>
  </si>
  <si>
    <t>Interés generado</t>
  </si>
  <si>
    <t>Deuda antes pago</t>
  </si>
  <si>
    <t>Amortización banco</t>
  </si>
  <si>
    <t>Flujo libre de caja</t>
  </si>
  <si>
    <t>Saldo deuda final</t>
  </si>
  <si>
    <t>Déficit a financiar</t>
  </si>
  <si>
    <t>Ingreso ventas</t>
  </si>
  <si>
    <t>Flujo libre</t>
  </si>
  <si>
    <t>Control</t>
  </si>
  <si>
    <t>Flujo para VPN/TIR</t>
  </si>
  <si>
    <t>Flujo inversionista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</si>
</sst>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;[Red]\(\$#,##0\);\-"/>
    <numFmt numFmtId="165" formatCode="0.00%;[Red]\(0.00%\);\-"/>
    <numFmt numFmtId="166" formatCode="0.0\x"/>
    <numFmt numFmtId="167" formatCode="dd/mm/yyyy"/>
    <numFmt numFmtId="168" formatCode="\$#,##0.00;[Red]\(\$#,##0.00\);\-"/>
    <numFmt numFmtId="169" formatCode="0.0%;[Red]\(0.0%\);\-"/>
    <numFmt numFmtId="170" formatCode="#,##0;[Red]\(#,##0\);\-"/>
    <numFmt numFmtId="171" formatCode="0.0000\x"/>
  </numFmts>
  <fonts count="22">
    <font>
      <sz val="11"/>
      <name val="Carlito"/>
    </font>
    <font>
      <b/>
      <sz val="10"/>
      <color rgb="FFFFFFFF"/>
      <name val="Noto Sans"/>
    </font>
    <font>
      <sz val="10"/>
      <name val="Noto Sans"/>
    </font>
    <font>
      <sz val="10"/>
      <color rgb="FF0000FF"/>
      <name val="Noto Sans"/>
    </font>
    <font>
      <b/>
      <sz val="10"/>
      <color rgb="FF0F172A"/>
      <name val="Noto Sans"/>
    </font>
    <font>
      <b/>
      <sz val="14"/>
      <color rgb="FF111827"/>
      <name val="Noto Sans"/>
    </font>
    <font>
      <b/>
      <sz val="10"/>
      <color rgb="FF111827"/>
      <name val="Noto Sans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0000FF"/>
      <name val="Carlito"/>
    </font>
    <font>
      <b/>
      <sz val="16"/>
      <color rgb="FFFFFFFF"/>
      <name val="Carlito"/>
    </font>
    <font>
      <i/>
      <sz val="11"/>
      <color rgb="FF1F4E78"/>
      <name val="Carlito"/>
    </font>
    <font>
      <b/>
      <sz val="11"/>
      <name val="Carlito"/>
    </font>
    <font>
      <sz val="11"/>
      <color rgb="FF0000FF"/>
      <name val="Carlito"/>
    </font>
    <font>
      <sz val="11"/>
      <color rgb="FF000000"/>
      <name val="Carlito"/>
    </font>
    <font>
      <i/>
      <sz val="11"/>
      <name val="Carlito"/>
    </font>
    <font>
      <b/>
      <sz val="10"/>
      <name val="Noto Sans"/>
    </font>
    <font>
      <i/>
      <sz val="11"/>
      <color rgb="FF1F2937"/>
      <name val="Carlito"/>
    </font>
    <font>
      <i/>
      <sz val="11"/>
      <color rgb="FF0000FF"/>
      <name val="Carlito"/>
    </font>
    <font>
      <sz val="11"/>
      <color rgb="FF008000"/>
      <name val="Carlito"/>
    </font>
    <font>
      <b/>
      <sz val="13"/>
      <color rgb="FF000000"/>
      <name val="Carlito"/>
    </font>
    <font>
      <sz val="13"/>
      <color rgb="FF008000"/>
      <name val="Carlito"/>
    </font>
  </fonts>
  <fills count="25">
    <fill>
      <patternFill patternType="none"/>
    </fill>
    <fill>
      <patternFill patternType="gray125"/>
    </fill>
    <fill>
      <patternFill patternType="solid">
        <fgColor rgb="FFE0F2FE"/>
      </patternFill>
    </fill>
    <fill>
      <patternFill patternType="solid">
        <fgColor rgb="FF0F3A5C"/>
      </patternFill>
    </fill>
    <fill>
      <patternFill patternType="solid">
        <fgColor rgb="FF0EA5E9"/>
      </patternFill>
    </fill>
    <fill>
      <patternFill patternType="solid">
        <fgColor rgb="FFFFF7CC"/>
      </patternFill>
    </fill>
    <fill>
      <patternFill patternType="solid">
        <fgColor rgb="FFDCEFFB"/>
      </patternFill>
    </fill>
    <fill>
      <patternFill patternType="solid">
        <fgColor rgb="FF0EA5E9"/>
      </patternFill>
    </fill>
    <fill>
      <patternFill patternType="solid">
        <fgColor rgb="FF123E5D"/>
      </patternFill>
    </fill>
    <fill>
      <patternFill patternType="solid">
        <fgColor rgb="FFE0F2FE"/>
      </patternFill>
    </fill>
    <fill>
      <patternFill patternType="solid">
        <fgColor rgb="FF1E3A8A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F8FBFD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4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3" borderId="0" xfId="0" applyFont="1" applyFill="1" applyAlignment="1">
      <alignment vertical="center" wrapText="1"/>
    </xf>
    <xf numFmtId="164" fontId="3" fillId="5" borderId="1" xfId="0" applyNumberFormat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165" fontId="3" fillId="5" borderId="1" xfId="0" applyNumberFormat="1" applyFont="1" applyFill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166" fontId="2" fillId="0" borderId="1" xfId="0" applyNumberFormat="1" applyFont="1" applyBorder="1" applyAlignment="1">
      <alignment vertical="center" wrapText="1"/>
    </xf>
    <xf numFmtId="167" fontId="2" fillId="0" borderId="1" xfId="0" applyNumberFormat="1" applyFont="1" applyBorder="1" applyAlignment="1">
      <alignment vertical="center" wrapText="1"/>
    </xf>
    <xf numFmtId="165" fontId="2" fillId="0" borderId="1" xfId="0" applyNumberFormat="1" applyFont="1" applyBorder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1" fillId="7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165" fontId="1" fillId="8" borderId="1" xfId="0" applyNumberFormat="1" applyFont="1" applyFill="1" applyBorder="1" applyAlignment="1">
      <alignment vertical="center" wrapText="1"/>
    </xf>
    <xf numFmtId="0" fontId="1" fillId="8" borderId="0" xfId="0" applyFont="1" applyFill="1" applyAlignment="1">
      <alignment vertical="center" wrapText="1"/>
    </xf>
    <xf numFmtId="167" fontId="2" fillId="0" borderId="0" xfId="0" applyNumberFormat="1" applyFont="1" applyAlignment="1">
      <alignment vertical="center" wrapText="1"/>
    </xf>
    <xf numFmtId="10" fontId="1" fillId="8" borderId="1" xfId="0" applyNumberFormat="1" applyFont="1" applyFill="1" applyBorder="1" applyAlignment="1">
      <alignment vertical="center" wrapText="1"/>
    </xf>
    <xf numFmtId="10" fontId="1" fillId="8" borderId="0" xfId="0" applyNumberFormat="1" applyFont="1" applyFill="1" applyAlignment="1">
      <alignment vertical="center" wrapText="1"/>
    </xf>
    <xf numFmtId="168" fontId="2" fillId="0" borderId="1" xfId="0" applyNumberFormat="1" applyFont="1" applyBorder="1" applyAlignment="1">
      <alignment vertical="center" wrapText="1"/>
    </xf>
    <xf numFmtId="168" fontId="2" fillId="0" borderId="0" xfId="0" applyNumberFormat="1" applyFont="1" applyAlignment="1">
      <alignment vertical="center" wrapText="1"/>
    </xf>
    <xf numFmtId="0" fontId="8" fillId="7" borderId="0" xfId="0" applyFont="1" applyFill="1"/>
    <xf numFmtId="168" fontId="9" fillId="11" borderId="0" xfId="0" applyNumberFormat="1" applyFont="1" applyFill="1"/>
    <xf numFmtId="10" fontId="9" fillId="11" borderId="0" xfId="0" applyNumberFormat="1" applyFont="1" applyFill="1"/>
    <xf numFmtId="1" fontId="9" fillId="11" borderId="0" xfId="0" applyNumberFormat="1" applyFont="1" applyFill="1"/>
    <xf numFmtId="168" fontId="0" fillId="0" borderId="0" xfId="0" applyNumberFormat="1"/>
    <xf numFmtId="0" fontId="11" fillId="13" borderId="0" xfId="0" applyFont="1" applyFill="1" applyAlignment="1">
      <alignment wrapText="1"/>
    </xf>
    <xf numFmtId="0" fontId="8" fillId="12" borderId="0" xfId="0" applyFont="1" applyFill="1"/>
    <xf numFmtId="164" fontId="0" fillId="0" borderId="0" xfId="0" applyNumberForma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0" fontId="8" fillId="12" borderId="0" xfId="0" applyFont="1" applyFill="1" applyAlignment="1">
      <alignment horizontal="center" vertical="center" wrapText="1"/>
    </xf>
    <xf numFmtId="0" fontId="15" fillId="15" borderId="0" xfId="0" applyFont="1" applyFill="1" applyAlignment="1">
      <alignment wrapText="1"/>
    </xf>
    <xf numFmtId="170" fontId="0" fillId="0" borderId="0" xfId="0" applyNumberFormat="1" applyAlignment="1">
      <alignment vertical="center"/>
    </xf>
    <xf numFmtId="170" fontId="13" fillId="15" borderId="0" xfId="0" applyNumberFormat="1" applyFont="1" applyFill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169" fontId="2" fillId="0" borderId="1" xfId="0" applyNumberFormat="1" applyFont="1" applyBorder="1" applyAlignment="1">
      <alignment vertical="center" wrapText="1"/>
    </xf>
    <xf numFmtId="0" fontId="8" fillId="18" borderId="0" xfId="0" applyFont="1" applyFill="1" applyAlignment="1">
      <alignment horizontal="center"/>
    </xf>
    <xf numFmtId="170" fontId="8" fillId="18" borderId="0" xfId="0" applyNumberFormat="1" applyFont="1" applyFill="1" applyAlignment="1">
      <alignment horizontal="center" vertical="center" wrapText="1"/>
    </xf>
    <xf numFmtId="164" fontId="8" fillId="18" borderId="0" xfId="0" applyNumberFormat="1" applyFont="1" applyFill="1" applyAlignment="1">
      <alignment horizontal="center" vertical="center" wrapText="1"/>
    </xf>
    <xf numFmtId="0" fontId="8" fillId="18" borderId="0" xfId="0" applyFont="1" applyFill="1" applyAlignment="1">
      <alignment horizontal="center" vertical="center" wrapText="1"/>
    </xf>
    <xf numFmtId="164" fontId="8" fillId="18" borderId="0" xfId="0" applyNumberFormat="1" applyFont="1" applyFill="1" applyAlignment="1">
      <alignment horizontal="center"/>
    </xf>
    <xf numFmtId="0" fontId="12" fillId="20" borderId="0" xfId="0" applyFont="1" applyFill="1" applyAlignment="1">
      <alignment wrapText="1"/>
    </xf>
    <xf numFmtId="0" fontId="12" fillId="21" borderId="0" xfId="0" applyFont="1" applyFill="1"/>
    <xf numFmtId="164" fontId="0" fillId="22" borderId="0" xfId="0" applyNumberFormat="1" applyFill="1"/>
    <xf numFmtId="10" fontId="0" fillId="0" borderId="0" xfId="0" applyNumberFormat="1" applyAlignment="1">
      <alignment wrapText="1"/>
    </xf>
    <xf numFmtId="49" fontId="8" fillId="16" borderId="0" xfId="0" applyNumberFormat="1" applyFont="1" applyFill="1" applyAlignment="1">
      <alignment horizontal="center" wrapText="1"/>
    </xf>
    <xf numFmtId="164" fontId="19" fillId="11" borderId="0" xfId="0" applyNumberFormat="1" applyFont="1" applyFill="1" applyAlignment="1">
      <alignment wrapText="1"/>
    </xf>
    <xf numFmtId="164" fontId="19" fillId="0" borderId="0" xfId="0" applyNumberFormat="1" applyFont="1" applyAlignment="1">
      <alignment wrapText="1"/>
    </xf>
    <xf numFmtId="1" fontId="19" fillId="11" borderId="0" xfId="0" applyNumberFormat="1" applyFont="1" applyFill="1" applyAlignment="1">
      <alignment wrapText="1"/>
    </xf>
    <xf numFmtId="171" fontId="13" fillId="11" borderId="0" xfId="0" applyNumberFormat="1" applyFont="1" applyFill="1" applyAlignment="1">
      <alignment wrapText="1"/>
    </xf>
    <xf numFmtId="164" fontId="14" fillId="0" borderId="0" xfId="0" applyNumberFormat="1" applyFont="1" applyAlignment="1">
      <alignment wrapText="1"/>
    </xf>
    <xf numFmtId="164" fontId="13" fillId="11" borderId="0" xfId="0" applyNumberFormat="1" applyFont="1" applyFill="1" applyAlignment="1">
      <alignment wrapText="1"/>
    </xf>
    <xf numFmtId="10" fontId="13" fillId="11" borderId="0" xfId="0" applyNumberFormat="1" applyFont="1" applyFill="1" applyAlignment="1">
      <alignment wrapText="1"/>
    </xf>
    <xf numFmtId="1" fontId="14" fillId="0" borderId="0" xfId="0" applyNumberFormat="1" applyFont="1" applyAlignment="1">
      <alignment wrapText="1"/>
    </xf>
    <xf numFmtId="1" fontId="13" fillId="0" borderId="0" xfId="0" applyNumberFormat="1" applyFont="1" applyAlignment="1">
      <alignment wrapText="1"/>
    </xf>
    <xf numFmtId="164" fontId="13" fillId="0" borderId="0" xfId="0" applyNumberFormat="1" applyFont="1" applyAlignment="1">
      <alignment wrapText="1"/>
    </xf>
    <xf numFmtId="1" fontId="14" fillId="11" borderId="0" xfId="0" applyNumberFormat="1" applyFont="1" applyFill="1" applyAlignment="1">
      <alignment wrapText="1"/>
    </xf>
    <xf numFmtId="164" fontId="14" fillId="11" borderId="0" xfId="0" applyNumberFormat="1" applyFont="1" applyFill="1" applyAlignment="1">
      <alignment wrapText="1"/>
    </xf>
    <xf numFmtId="10" fontId="19" fillId="0" borderId="0" xfId="0" applyNumberFormat="1" applyFont="1" applyAlignment="1">
      <alignment wrapText="1"/>
    </xf>
    <xf numFmtId="10" fontId="13" fillId="0" borderId="0" xfId="0" applyNumberFormat="1" applyFont="1" applyAlignment="1">
      <alignment wrapText="1"/>
    </xf>
    <xf numFmtId="0" fontId="12" fillId="17" borderId="0" xfId="0" applyFont="1" applyFill="1" applyAlignment="1">
      <alignment horizontal="center" vertical="center" wrapText="1"/>
    </xf>
    <xf numFmtId="0" fontId="12" fillId="17" borderId="0" xfId="0" applyFont="1" applyFill="1" applyAlignment="1">
      <alignment vertical="center" wrapText="1"/>
    </xf>
    <xf numFmtId="1" fontId="8" fillId="12" borderId="0" xfId="0" applyNumberFormat="1" applyFont="1" applyFill="1" applyAlignment="1">
      <alignment horizontal="center" vertical="center"/>
    </xf>
    <xf numFmtId="1" fontId="13" fillId="11" borderId="0" xfId="0" applyNumberFormat="1" applyFont="1" applyFill="1" applyAlignment="1">
      <alignment horizontal="right" vertical="center"/>
    </xf>
    <xf numFmtId="1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" fontId="13" fillId="0" borderId="0" xfId="0" applyNumberFormat="1" applyFont="1" applyAlignment="1">
      <alignment horizontal="right" vertical="center"/>
    </xf>
    <xf numFmtId="1" fontId="9" fillId="17" borderId="0" xfId="0" applyNumberFormat="1" applyFont="1" applyFill="1" applyAlignment="1">
      <alignment horizontal="right" vertical="center"/>
    </xf>
    <xf numFmtId="1" fontId="12" fillId="17" borderId="0" xfId="0" applyNumberFormat="1" applyFont="1" applyFill="1" applyAlignment="1">
      <alignment horizontal="right" vertical="center"/>
    </xf>
    <xf numFmtId="164" fontId="12" fillId="17" borderId="0" xfId="0" applyNumberFormat="1" applyFont="1" applyFill="1" applyAlignment="1">
      <alignment horizontal="right" vertical="center"/>
    </xf>
    <xf numFmtId="1" fontId="9" fillId="12" borderId="0" xfId="0" applyNumberFormat="1" applyFont="1" applyFill="1" applyAlignment="1">
      <alignment horizontal="right" vertical="center"/>
    </xf>
    <xf numFmtId="1" fontId="8" fillId="12" borderId="0" xfId="0" applyNumberFormat="1" applyFont="1" applyFill="1" applyAlignment="1">
      <alignment horizontal="right" vertical="center"/>
    </xf>
    <xf numFmtId="164" fontId="8" fillId="12" borderId="0" xfId="0" applyNumberFormat="1" applyFont="1" applyFill="1" applyAlignment="1">
      <alignment horizontal="right" vertic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49" fontId="12" fillId="21" borderId="0" xfId="0" applyNumberFormat="1" applyFont="1" applyFill="1" applyAlignment="1">
      <alignment horizontal="right"/>
    </xf>
    <xf numFmtId="0" fontId="12" fillId="21" borderId="0" xfId="0" applyFont="1" applyFill="1" applyAlignment="1">
      <alignment horizontal="right"/>
    </xf>
    <xf numFmtId="164" fontId="12" fillId="21" borderId="0" xfId="0" applyNumberFormat="1" applyFont="1" applyFill="1" applyAlignment="1">
      <alignment horizontal="right"/>
    </xf>
    <xf numFmtId="1" fontId="0" fillId="0" borderId="0" xfId="0" applyNumberFormat="1" applyAlignment="1">
      <alignment horizontal="center" vertical="center"/>
    </xf>
    <xf numFmtId="1" fontId="12" fillId="17" borderId="0" xfId="0" applyNumberFormat="1" applyFont="1" applyFill="1" applyAlignment="1">
      <alignment horizontal="center" vertical="center"/>
    </xf>
    <xf numFmtId="1" fontId="12" fillId="14" borderId="0" xfId="0" applyNumberFormat="1" applyFont="1" applyFill="1" applyAlignment="1">
      <alignment horizontal="center" vertical="center"/>
    </xf>
    <xf numFmtId="0" fontId="16" fillId="19" borderId="0" xfId="0" applyFont="1" applyFill="1" applyAlignment="1">
      <alignment vertical="center" wrapText="1"/>
    </xf>
    <xf numFmtId="0" fontId="2" fillId="19" borderId="0" xfId="0" applyFont="1" applyFill="1" applyAlignment="1">
      <alignment vertical="center" wrapText="1"/>
    </xf>
    <xf numFmtId="164" fontId="2" fillId="19" borderId="0" xfId="0" applyNumberFormat="1" applyFont="1" applyFill="1" applyAlignment="1">
      <alignment vertical="center" wrapText="1"/>
    </xf>
    <xf numFmtId="10" fontId="2" fillId="19" borderId="0" xfId="0" applyNumberFormat="1" applyFont="1" applyFill="1" applyAlignment="1">
      <alignment vertical="center" wrapText="1"/>
    </xf>
    <xf numFmtId="1" fontId="2" fillId="19" borderId="0" xfId="0" applyNumberFormat="1" applyFont="1" applyFill="1" applyAlignment="1">
      <alignment vertical="center" wrapText="1"/>
    </xf>
    <xf numFmtId="1" fontId="16" fillId="19" borderId="0" xfId="0" applyNumberFormat="1" applyFont="1" applyFill="1" applyAlignment="1">
      <alignment vertical="center" wrapText="1"/>
    </xf>
    <xf numFmtId="1" fontId="1" fillId="19" borderId="0" xfId="0" applyNumberFormat="1" applyFont="1" applyFill="1" applyAlignment="1">
      <alignment horizontal="center" vertical="center" wrapText="1"/>
    </xf>
    <xf numFmtId="0" fontId="12" fillId="22" borderId="0" xfId="0" applyFont="1" applyFill="1"/>
    <xf numFmtId="0" fontId="20" fillId="20" borderId="0" xfId="0" applyFont="1" applyFill="1" applyAlignment="1">
      <alignment horizontal="center" wrapText="1"/>
    </xf>
    <xf numFmtId="1" fontId="21" fillId="23" borderId="0" xfId="0" applyNumberFormat="1" applyFont="1" applyFill="1" applyAlignment="1">
      <alignment horizontal="center" wrapText="1"/>
    </xf>
    <xf numFmtId="0" fontId="20" fillId="24" borderId="0" xfId="0" applyFont="1" applyFill="1" applyAlignment="1">
      <alignment horizontal="center" wrapText="1"/>
    </xf>
    <xf numFmtId="0" fontId="20" fillId="24" borderId="0" xfId="0" applyFont="1" applyFill="1" applyAlignment="1">
      <alignment horizontal="center"/>
    </xf>
    <xf numFmtId="0" fontId="1" fillId="18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6" fillId="9" borderId="0" xfId="0" applyFont="1" applyFill="1" applyAlignment="1">
      <alignment vertical="center" wrapText="1"/>
    </xf>
    <xf numFmtId="0" fontId="7" fillId="10" borderId="0" xfId="0" applyFont="1" applyFill="1"/>
    <xf numFmtId="0" fontId="7" fillId="10" borderId="0" xfId="0" applyFont="1" applyFill="1" applyAlignment="1">
      <alignment wrapText="1"/>
    </xf>
    <xf numFmtId="0" fontId="10" fillId="18" borderId="0" xfId="0" applyFont="1" applyFill="1" applyAlignment="1">
      <alignment horizontal="center" vertical="center"/>
    </xf>
    <xf numFmtId="0" fontId="17" fillId="19" borderId="0" xfId="0" applyFont="1" applyFill="1" applyAlignment="1">
      <alignment horizontal="left" wrapText="1"/>
    </xf>
    <xf numFmtId="0" fontId="8" fillId="18" borderId="0" xfId="0" applyFont="1" applyFill="1" applyAlignment="1">
      <alignment horizontal="left" vertical="center"/>
    </xf>
    <xf numFmtId="0" fontId="8" fillId="18" borderId="0" xfId="0" applyFont="1" applyFill="1" applyAlignment="1">
      <alignment horizontal="left" vertical="center" wrapText="1"/>
    </xf>
    <xf numFmtId="0" fontId="0" fillId="14" borderId="0" xfId="0" applyFill="1" applyAlignment="1">
      <alignment vertical="center" wrapText="1"/>
    </xf>
    <xf numFmtId="0" fontId="0" fillId="0" borderId="0" xfId="0" applyAlignment="1">
      <alignment wrapText="1"/>
    </xf>
    <xf numFmtId="170" fontId="8" fillId="18" borderId="0" xfId="0" applyNumberFormat="1" applyFont="1" applyFill="1" applyAlignment="1">
      <alignment horizontal="left" vertical="center"/>
    </xf>
    <xf numFmtId="164" fontId="8" fillId="18" borderId="0" xfId="0" applyNumberFormat="1" applyFont="1" applyFill="1" applyAlignment="1">
      <alignment horizontal="left" vertical="center"/>
    </xf>
    <xf numFmtId="170" fontId="15" fillId="19" borderId="0" xfId="0" applyNumberFormat="1" applyFont="1" applyFill="1" applyAlignment="1">
      <alignment vertical="center" wrapText="1"/>
    </xf>
    <xf numFmtId="170" fontId="18" fillId="19" borderId="0" xfId="0" applyNumberFormat="1" applyFont="1" applyFill="1" applyAlignment="1">
      <alignment vertical="center" wrapText="1"/>
    </xf>
    <xf numFmtId="164" fontId="15" fillId="19" borderId="0" xfId="0" applyNumberFormat="1" applyFont="1" applyFill="1" applyAlignment="1">
      <alignment vertical="center" wrapText="1"/>
    </xf>
    <xf numFmtId="0" fontId="15" fillId="19" borderId="0" xfId="0" applyFont="1" applyFill="1" applyAlignment="1">
      <alignment vertical="center" wrapText="1"/>
    </xf>
  </cellXfs>
  <cellStyles count="1">
    <cellStyle name="Normal" xfId="0" builtinId="0"/>
  </cellStyles>
  <dxfs count="7">
    <dxf>
      <font>
        <color rgb="FFC00000"/>
      </font>
      <fill>
        <patternFill>
          <bgColor rgb="FFFCE4D6"/>
        </patternFill>
      </fill>
    </dxf>
    <dxf>
      <fill>
        <patternFill>
          <bgColor rgb="FFFCE4D6"/>
        </patternFill>
      </fill>
    </dxf>
    <dxf>
      <font>
        <color rgb="FFC00000"/>
      </font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rPr lang="es-MX"/>
              <a:t>Estructura de capital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Monto</c:v>
          </c:tx>
          <c:cat>
            <c:strRef>
              <c:f>Dashboard!$A$9:$A$11</c:f>
              <c:strCache>
                <c:ptCount val="3"/>
                <c:pt idx="0">
                  <c:v>Deuda senior</c:v>
                </c:pt>
                <c:pt idx="1">
                  <c:v>Capital del desarrollador</c:v>
                </c:pt>
                <c:pt idx="2">
                  <c:v>Preventa</c:v>
                </c:pt>
              </c:strCache>
            </c:strRef>
          </c:cat>
          <c:val>
            <c:numRef>
              <c:f>Dashboard!$B$9:$B$11</c:f>
              <c:numCache>
                <c:formatCode>\$#,##0;[Red]\(\$#,##0\);\-</c:formatCode>
                <c:ptCount val="3"/>
                <c:pt idx="0">
                  <c:v>27350000</c:v>
                </c:pt>
                <c:pt idx="1">
                  <c:v>27091223</c:v>
                </c:pt>
                <c:pt idx="2">
                  <c:v>27457000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0-3A42-A75B-88C5B2917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rPr lang="es-MX"/>
              <a:t>Comparativo de mercado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Asís PerSe</c:v>
          </c:tx>
          <c:invertIfNegative val="1"/>
          <c:cat>
            <c:strRef>
              <c:f>Dashboard!$D$9:$D$12</c:f>
              <c:strCache>
                <c:ptCount val="4"/>
                <c:pt idx="0">
                  <c:v>Costo por noche</c:v>
                </c:pt>
                <c:pt idx="1">
                  <c:v>Ocupación</c:v>
                </c:pt>
                <c:pt idx="2">
                  <c:v>Ingreso mensual</c:v>
                </c:pt>
                <c:pt idx="3">
                  <c:v>Ingreso anual</c:v>
                </c:pt>
              </c:strCache>
            </c:strRef>
          </c:cat>
          <c:val>
            <c:numRef>
              <c:f>Dashboard!$E$9:$E$12</c:f>
              <c:numCache>
                <c:formatCode>0.00%;[Red]\(0.00%\);\-</c:formatCode>
                <c:ptCount val="4"/>
                <c:pt idx="0" formatCode="\$#,##0;[Red]\(\$#,##0\);\-">
                  <c:v>1350</c:v>
                </c:pt>
                <c:pt idx="1">
                  <c:v>0.7</c:v>
                </c:pt>
                <c:pt idx="2" formatCode="\$#,##0;[Red]\(\$#,##0\);\-">
                  <c:v>28980</c:v>
                </c:pt>
                <c:pt idx="3" formatCode="\$#,##0;[Red]\(\$#,##0\);\-">
                  <c:v>347760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F-F243-B69B-C8FDF39F4CD1}"/>
            </c:ext>
          </c:extLst>
        </c:ser>
        <c:ser>
          <c:idx val="1"/>
          <c:order val="1"/>
          <c:tx>
            <c:v>Mercado/Zona</c:v>
          </c:tx>
          <c:invertIfNegative val="1"/>
          <c:cat>
            <c:strRef>
              <c:f>Dashboard!$D$9:$D$12</c:f>
              <c:strCache>
                <c:ptCount val="4"/>
                <c:pt idx="0">
                  <c:v>Costo por noche</c:v>
                </c:pt>
                <c:pt idx="1">
                  <c:v>Ocupación</c:v>
                </c:pt>
                <c:pt idx="2">
                  <c:v>Ingreso mensual</c:v>
                </c:pt>
                <c:pt idx="3">
                  <c:v>Ingreso anual</c:v>
                </c:pt>
              </c:strCache>
            </c:strRef>
          </c:cat>
          <c:val>
            <c:numRef>
              <c:f>Dashboard!$F$9:$F$12</c:f>
              <c:numCache>
                <c:formatCode>0.00%;[Red]\(0.00%\);\-</c:formatCode>
                <c:ptCount val="4"/>
                <c:pt idx="0" formatCode="\$#,##0;[Red]\(\$#,##0\);\-">
                  <c:v>801</c:v>
                </c:pt>
                <c:pt idx="1">
                  <c:v>0.68</c:v>
                </c:pt>
                <c:pt idx="2" formatCode="\$#,##0;[Red]\(\$#,##0\);\-">
                  <c:v>16618</c:v>
                </c:pt>
                <c:pt idx="3" formatCode="\$#,##0;[Red]\(\$#,##0\);\-">
                  <c:v>199498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3F-F243-B69B-C8FDF39F4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rPr lang="es-MX"/>
              <a:t>Ventas, flujo libre y saldo de deuda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Ingreso ventas</c:v>
          </c:tx>
          <c:cat>
            <c:numRef>
              <c:f>Venta_Proyecto!$T$40:$T$69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Venta_Proyecto!$U$40:$U$69</c:f>
              <c:numCache>
                <c:formatCode>\$#,##0;[Red]\(\$#,##0\);\-</c:formatCode>
                <c:ptCount val="30"/>
                <c:pt idx="0">
                  <c:v>6735051.2335526319</c:v>
                </c:pt>
                <c:pt idx="1">
                  <c:v>6735051.2335526319</c:v>
                </c:pt>
                <c:pt idx="2">
                  <c:v>6735051.2335526319</c:v>
                </c:pt>
                <c:pt idx="3">
                  <c:v>6735051.2335526319</c:v>
                </c:pt>
                <c:pt idx="4">
                  <c:v>6735051.2335526319</c:v>
                </c:pt>
                <c:pt idx="5">
                  <c:v>6735051.2335526319</c:v>
                </c:pt>
                <c:pt idx="6">
                  <c:v>6735051.2335526319</c:v>
                </c:pt>
                <c:pt idx="7">
                  <c:v>6735051.2335526319</c:v>
                </c:pt>
                <c:pt idx="8">
                  <c:v>6735051.2335526319</c:v>
                </c:pt>
                <c:pt idx="9">
                  <c:v>6735051.2335526319</c:v>
                </c:pt>
                <c:pt idx="10">
                  <c:v>6735051.2335526319</c:v>
                </c:pt>
                <c:pt idx="11">
                  <c:v>6735051.2335526319</c:v>
                </c:pt>
                <c:pt idx="12">
                  <c:v>6735051.2335526319</c:v>
                </c:pt>
                <c:pt idx="13">
                  <c:v>6735051.2335526319</c:v>
                </c:pt>
                <c:pt idx="14">
                  <c:v>6735051.2335526319</c:v>
                </c:pt>
                <c:pt idx="15">
                  <c:v>6735051.2335526319</c:v>
                </c:pt>
                <c:pt idx="16">
                  <c:v>6735051.2335526319</c:v>
                </c:pt>
                <c:pt idx="17">
                  <c:v>6735051.2335526319</c:v>
                </c:pt>
                <c:pt idx="18">
                  <c:v>6735051.2335526319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72-C743-90F6-EFF5D0C6CE4D}"/>
            </c:ext>
          </c:extLst>
        </c:ser>
        <c:ser>
          <c:idx val="1"/>
          <c:order val="1"/>
          <c:tx>
            <c:v>Flujo libre</c:v>
          </c:tx>
          <c:cat>
            <c:numRef>
              <c:f>Venta_Proyecto!$T$40:$T$69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Venta_Proyecto!$V$40:$V$69</c:f>
              <c:numCache>
                <c:formatCode>\$#,##0;[Red]\(\$#,##0\);\-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303573.08514433261</c:v>
                </c:pt>
                <c:pt idx="11">
                  <c:v>5724793.5485197371</c:v>
                </c:pt>
                <c:pt idx="12">
                  <c:v>5724793.5485197371</c:v>
                </c:pt>
                <c:pt idx="13">
                  <c:v>5724793.5485197371</c:v>
                </c:pt>
                <c:pt idx="14">
                  <c:v>5724793.5485197371</c:v>
                </c:pt>
                <c:pt idx="15">
                  <c:v>5724793.5485197371</c:v>
                </c:pt>
                <c:pt idx="16">
                  <c:v>5724793.5485197371</c:v>
                </c:pt>
                <c:pt idx="17">
                  <c:v>5724793.5485197371</c:v>
                </c:pt>
                <c:pt idx="18">
                  <c:v>5724793.5485197371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72-C743-90F6-EFF5D0C6CE4D}"/>
            </c:ext>
          </c:extLst>
        </c:ser>
        <c:ser>
          <c:idx val="2"/>
          <c:order val="2"/>
          <c:tx>
            <c:v>Saldo deuda final</c:v>
          </c:tx>
          <c:cat>
            <c:numRef>
              <c:f>Venta_Proyecto!$T$40:$T$69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Venta_Proyecto!$W$40:$W$69</c:f>
              <c:numCache>
                <c:formatCode>\$#,##0;[Red]\(\$#,##0\);\-</c:formatCode>
                <c:ptCount val="30"/>
                <c:pt idx="0">
                  <c:v>52475837.383834422</c:v>
                </c:pt>
                <c:pt idx="1">
                  <c:v>47549113.86219383</c:v>
                </c:pt>
                <c:pt idx="2">
                  <c:v>42547463.086994953</c:v>
                </c:pt>
                <c:pt idx="3">
                  <c:v>37469745.539589934</c:v>
                </c:pt>
                <c:pt idx="4">
                  <c:v>32314804.371151462</c:v>
                </c:pt>
                <c:pt idx="5">
                  <c:v>27081465.139109652</c:v>
                </c:pt>
                <c:pt idx="6">
                  <c:v>21768535.539580539</c:v>
                </c:pt>
                <c:pt idx="7">
                  <c:v>16374805.135725256</c:v>
                </c:pt>
                <c:pt idx="8">
                  <c:v>10899045.081978008</c:v>
                </c:pt>
                <c:pt idx="9">
                  <c:v>5340007.8440800207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72-C743-90F6-EFF5D0C6C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;[Red]\(\$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4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/>
  </sheetViews>
  <sheetFormatPr baseColWidth="10" defaultColWidth="8.83203125" defaultRowHeight="14"/>
  <cols>
    <col min="1" max="8" width="18" customWidth="1"/>
  </cols>
  <sheetData>
    <row r="1" spans="1:26" ht="108.25" customHeight="1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6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86.7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43.25" customHeight="1">
      <c r="A4" s="4" t="s">
        <v>7</v>
      </c>
      <c r="B4" s="9">
        <f>Control!B8</f>
        <v>81898223</v>
      </c>
      <c r="C4" s="4" t="s">
        <v>8</v>
      </c>
      <c r="D4" s="12">
        <f>Control!B22</f>
        <v>0.1825</v>
      </c>
      <c r="E4" s="12" t="s">
        <v>9</v>
      </c>
      <c r="F4" s="42">
        <f>Control!B22</f>
        <v>0.1825</v>
      </c>
      <c r="G4" s="4"/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43.25" customHeight="1">
      <c r="A5" s="4" t="s">
        <v>10</v>
      </c>
      <c r="B5" s="4">
        <f>Control!B9</f>
        <v>38</v>
      </c>
      <c r="C5" s="4" t="s">
        <v>11</v>
      </c>
      <c r="D5" s="4">
        <f>Control!B32</f>
        <v>0.7</v>
      </c>
      <c r="E5" s="4" t="s">
        <v>12</v>
      </c>
      <c r="F5" s="9">
        <f>Control!B36</f>
        <v>13214880</v>
      </c>
      <c r="G5" s="4"/>
      <c r="H5" s="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6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6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65" customHeight="1">
      <c r="A8" s="1" t="s">
        <v>13</v>
      </c>
      <c r="B8" s="1" t="s">
        <v>14</v>
      </c>
      <c r="C8" s="3"/>
      <c r="D8" s="1" t="s">
        <v>15</v>
      </c>
      <c r="E8" s="1" t="s">
        <v>2</v>
      </c>
      <c r="F8" s="1" t="s">
        <v>16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3.25" customHeight="1">
      <c r="A9" s="3" t="str">
        <f>Control!A15</f>
        <v>Deuda senior</v>
      </c>
      <c r="B9" s="14">
        <f>Control!B15</f>
        <v>27350000</v>
      </c>
      <c r="C9" s="3"/>
      <c r="D9" s="3" t="s">
        <v>17</v>
      </c>
      <c r="E9" s="14">
        <f>Control!E16</f>
        <v>1350</v>
      </c>
      <c r="F9" s="14">
        <f>Control!F16</f>
        <v>801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65" customHeight="1">
      <c r="A10" s="3" t="str">
        <f>Control!A16</f>
        <v>Capital del desarrollador</v>
      </c>
      <c r="B10" s="14">
        <f>Control!B16</f>
        <v>27091223</v>
      </c>
      <c r="C10" s="3"/>
      <c r="D10" s="3" t="s">
        <v>18</v>
      </c>
      <c r="E10" s="13">
        <f>Control!E17</f>
        <v>0.7</v>
      </c>
      <c r="F10" s="13">
        <f>Control!F17</f>
        <v>0.68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3.25" customHeight="1">
      <c r="A11" s="3" t="str">
        <f>Control!A17</f>
        <v>Preventa</v>
      </c>
      <c r="B11" s="14">
        <f>Control!B17</f>
        <v>27457000</v>
      </c>
      <c r="C11" s="3"/>
      <c r="D11" s="3" t="s">
        <v>19</v>
      </c>
      <c r="E11" s="14">
        <f>Control!E18</f>
        <v>28980</v>
      </c>
      <c r="F11" s="14">
        <f>Control!F18</f>
        <v>16618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6.75" customHeight="1">
      <c r="A12" s="3"/>
      <c r="B12" s="3"/>
      <c r="C12" s="3"/>
      <c r="D12" s="3" t="s">
        <v>20</v>
      </c>
      <c r="E12" s="14">
        <f>Control!E19</f>
        <v>347760</v>
      </c>
      <c r="F12" s="14">
        <f>Control!F19</f>
        <v>199498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6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6.75" customHeight="1">
      <c r="A14" s="100" t="s">
        <v>114</v>
      </c>
      <c r="B14" s="100"/>
      <c r="C14" s="100"/>
      <c r="D14" s="100"/>
      <c r="E14" s="100"/>
      <c r="F14" s="100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6.75" customHeight="1">
      <c r="A15" s="88" t="s">
        <v>115</v>
      </c>
      <c r="B15" s="91">
        <f>Venta_Proyecto!$B$29</f>
        <v>0.12</v>
      </c>
      <c r="C15" s="89"/>
      <c r="D15" s="88" t="s">
        <v>116</v>
      </c>
      <c r="E15" s="90">
        <f>Venta_Proyecto!$G$10</f>
        <v>15275260.444715656</v>
      </c>
      <c r="F15" s="89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6.75" customHeight="1">
      <c r="A16" s="88" t="s">
        <v>117</v>
      </c>
      <c r="B16" s="91">
        <f>Venta_Proyecto!$G$12</f>
        <v>0.63501447695209223</v>
      </c>
      <c r="C16" s="89"/>
      <c r="D16" s="88" t="s">
        <v>118</v>
      </c>
      <c r="E16" s="89" t="str">
        <f ca="1">Venta_Proyecto!$G$13</f>
        <v>No alcanza</v>
      </c>
      <c r="F16" s="89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6.75" customHeight="1">
      <c r="A17" s="88" t="s">
        <v>119</v>
      </c>
      <c r="B17" s="92" t="str">
        <f ca="1">Venta_Proyecto!$G$14</f>
        <v>No se liquida</v>
      </c>
      <c r="C17" s="92"/>
      <c r="D17" s="93" t="s">
        <v>120</v>
      </c>
      <c r="E17" s="94" t="str">
        <f>Venta_Proyecto!$G$15</f>
        <v>VIABLE</v>
      </c>
      <c r="F17" s="89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6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6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6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6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6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6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6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6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6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6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6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6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6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6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6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6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6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6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6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6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6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6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6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6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6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6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6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6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6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6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6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6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6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6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6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6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6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6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6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6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6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6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6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6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6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6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6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6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6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6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6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6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6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6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6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6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6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6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6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6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6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6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6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6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6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6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6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6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6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6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6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6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6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6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6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6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6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6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6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6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6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6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6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</sheetData>
  <mergeCells count="1">
    <mergeCell ref="A14:F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baseColWidth="10" defaultColWidth="8.83203125" defaultRowHeight="14"/>
  <cols>
    <col min="1" max="1" width="30" customWidth="1"/>
    <col min="2" max="2" width="22" customWidth="1"/>
    <col min="4" max="4" width="24" customWidth="1"/>
    <col min="5" max="7" width="18" customWidth="1"/>
  </cols>
  <sheetData>
    <row r="1" spans="1:26" ht="108.25" customHeight="1">
      <c r="A1" s="2" t="s">
        <v>21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6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6.75" customHeight="1">
      <c r="A3" s="4" t="s">
        <v>1</v>
      </c>
      <c r="B3" s="4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0" customHeight="1">
      <c r="A4" s="4" t="s">
        <v>3</v>
      </c>
      <c r="B4" s="4" t="s">
        <v>22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43.25" customHeight="1">
      <c r="A5" s="4" t="s">
        <v>5</v>
      </c>
      <c r="B5" s="4" t="s">
        <v>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6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65" customHeight="1">
      <c r="A7" s="5" t="s">
        <v>23</v>
      </c>
      <c r="B7" s="5"/>
      <c r="C7" s="3"/>
      <c r="D7" s="5" t="s">
        <v>24</v>
      </c>
      <c r="E7" s="5"/>
      <c r="F7" s="5"/>
      <c r="G7" s="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3.25" customHeight="1">
      <c r="A8" s="4" t="s">
        <v>7</v>
      </c>
      <c r="B8" s="6">
        <v>81898223</v>
      </c>
      <c r="C8" s="3"/>
      <c r="D8" s="1" t="s">
        <v>25</v>
      </c>
      <c r="E8" s="1" t="s">
        <v>26</v>
      </c>
      <c r="F8" s="1" t="s">
        <v>18</v>
      </c>
      <c r="G8" s="1" t="s">
        <v>27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65" customHeight="1">
      <c r="A9" s="4" t="s">
        <v>28</v>
      </c>
      <c r="B9" s="7">
        <v>38</v>
      </c>
      <c r="C9" s="3"/>
      <c r="D9" s="7" t="s">
        <v>29</v>
      </c>
      <c r="E9" s="6">
        <v>1450</v>
      </c>
      <c r="F9" s="8">
        <v>0.78</v>
      </c>
      <c r="G9" s="8">
        <v>0.32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65" customHeight="1">
      <c r="A10" s="4" t="s">
        <v>30</v>
      </c>
      <c r="B10" s="7">
        <v>85</v>
      </c>
      <c r="C10" s="3"/>
      <c r="D10" s="7" t="s">
        <v>31</v>
      </c>
      <c r="E10" s="6">
        <v>1350</v>
      </c>
      <c r="F10" s="8">
        <v>0.7</v>
      </c>
      <c r="G10" s="8">
        <v>0.35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65" customHeight="1">
      <c r="A11" s="4" t="s">
        <v>32</v>
      </c>
      <c r="B11" s="7">
        <v>34</v>
      </c>
      <c r="C11" s="3"/>
      <c r="D11" s="7" t="s">
        <v>33</v>
      </c>
      <c r="E11" s="6">
        <v>1200</v>
      </c>
      <c r="F11" s="8">
        <v>0.57999999999999996</v>
      </c>
      <c r="G11" s="8">
        <v>0.39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3.25" customHeight="1">
      <c r="A12" s="4" t="s">
        <v>34</v>
      </c>
      <c r="B12" s="7">
        <v>0.42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6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3.25" customHeight="1">
      <c r="A14" s="5" t="s">
        <v>13</v>
      </c>
      <c r="B14" s="5"/>
      <c r="C14" s="3"/>
      <c r="D14" s="5" t="s">
        <v>35</v>
      </c>
      <c r="E14" s="5"/>
      <c r="F14" s="5"/>
      <c r="G14" s="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43.25" customHeight="1">
      <c r="A15" s="4" t="s">
        <v>36</v>
      </c>
      <c r="B15" s="6">
        <v>27350000</v>
      </c>
      <c r="C15" s="3"/>
      <c r="D15" s="1" t="s">
        <v>37</v>
      </c>
      <c r="E15" s="1" t="s">
        <v>2</v>
      </c>
      <c r="F15" s="1" t="s">
        <v>16</v>
      </c>
      <c r="G15" s="1" t="s">
        <v>38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65" customHeight="1">
      <c r="A16" s="4" t="s">
        <v>39</v>
      </c>
      <c r="B16" s="6">
        <v>27091223</v>
      </c>
      <c r="C16" s="3"/>
      <c r="D16" s="7" t="s">
        <v>17</v>
      </c>
      <c r="E16" s="6">
        <v>1350</v>
      </c>
      <c r="F16" s="6">
        <v>801</v>
      </c>
      <c r="G16" s="7" t="s">
        <v>40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43.25" customHeight="1">
      <c r="A17" s="4" t="s">
        <v>41</v>
      </c>
      <c r="B17" s="6">
        <v>27457000</v>
      </c>
      <c r="C17" s="3"/>
      <c r="D17" s="7" t="s">
        <v>18</v>
      </c>
      <c r="E17" s="8">
        <v>0.7</v>
      </c>
      <c r="F17" s="8">
        <v>0.68</v>
      </c>
      <c r="G17" s="7" t="s">
        <v>42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86.75" customHeight="1">
      <c r="A18" s="4" t="s">
        <v>43</v>
      </c>
      <c r="B18" s="9">
        <f>SUM(B15:B17)</f>
        <v>81898223</v>
      </c>
      <c r="C18" s="3"/>
      <c r="D18" s="7" t="s">
        <v>44</v>
      </c>
      <c r="E18" s="6">
        <v>28980</v>
      </c>
      <c r="F18" s="6">
        <v>16618</v>
      </c>
      <c r="G18" s="7" t="s">
        <v>40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86.75" customHeight="1">
      <c r="A19" s="4" t="s">
        <v>45</v>
      </c>
      <c r="B19" s="9">
        <f>B18-B8</f>
        <v>0</v>
      </c>
      <c r="C19" s="3"/>
      <c r="D19" s="7" t="s">
        <v>46</v>
      </c>
      <c r="E19" s="6">
        <v>347760</v>
      </c>
      <c r="F19" s="6">
        <v>199498</v>
      </c>
      <c r="G19" s="7" t="s">
        <v>40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43.25" customHeight="1">
      <c r="A20" s="3"/>
      <c r="B20" s="3"/>
      <c r="C20" s="3"/>
      <c r="D20" s="7" t="s">
        <v>47</v>
      </c>
      <c r="E20" s="6">
        <v>75097</v>
      </c>
      <c r="F20" s="6">
        <v>66730</v>
      </c>
      <c r="G20" s="7" t="s">
        <v>48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86.75" customHeight="1">
      <c r="A21" s="5" t="s">
        <v>49</v>
      </c>
      <c r="B21" s="5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43.25" customHeight="1">
      <c r="A22" s="4" t="s">
        <v>8</v>
      </c>
      <c r="B22" s="8">
        <v>0.1825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86.75" customHeight="1">
      <c r="A23" s="4" t="s">
        <v>50</v>
      </c>
      <c r="B23" s="7">
        <v>30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43.25" customHeight="1">
      <c r="A24" s="4" t="s">
        <v>51</v>
      </c>
      <c r="B24" s="7" t="s">
        <v>52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65" customHeight="1">
      <c r="A25" s="4" t="s">
        <v>53</v>
      </c>
      <c r="B25" s="8">
        <v>0.01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65" customHeight="1">
      <c r="A26" s="4" t="s">
        <v>54</v>
      </c>
      <c r="B26" s="8">
        <v>0.01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65" customHeight="1">
      <c r="A27" s="4" t="s">
        <v>55</v>
      </c>
      <c r="B27" s="6">
        <v>52875668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43.25" customHeight="1">
      <c r="A28" s="4" t="s">
        <v>56</v>
      </c>
      <c r="B28" s="10">
        <f>B27/B15</f>
        <v>1.933296819012797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6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43.25" customHeight="1">
      <c r="A30" s="5" t="s">
        <v>57</v>
      </c>
      <c r="B30" s="5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65" customHeight="1">
      <c r="A31" s="4" t="s">
        <v>58</v>
      </c>
      <c r="B31" s="6">
        <v>1350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43.25" customHeight="1">
      <c r="A32" s="4" t="s">
        <v>11</v>
      </c>
      <c r="B32" s="8">
        <v>0.7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86.75" customHeight="1">
      <c r="A33" s="4" t="s">
        <v>44</v>
      </c>
      <c r="B33" s="6">
        <v>28980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65" customHeight="1">
      <c r="A34" s="4" t="s">
        <v>46</v>
      </c>
      <c r="B34" s="9">
        <f>B33*12</f>
        <v>347760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65" customHeight="1">
      <c r="A35" s="4" t="s">
        <v>28</v>
      </c>
      <c r="B35" s="9">
        <f>B9</f>
        <v>38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65" customHeight="1">
      <c r="A36" s="4" t="s">
        <v>59</v>
      </c>
      <c r="B36" s="9">
        <f>B34*B35</f>
        <v>13214880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65" customHeight="1">
      <c r="A37" s="4" t="s">
        <v>60</v>
      </c>
      <c r="B37" s="8">
        <v>0.04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86.75" customHeight="1">
      <c r="A38" s="4" t="s">
        <v>61</v>
      </c>
      <c r="B38" s="8">
        <v>0.35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65" customHeight="1">
      <c r="A39" s="4" t="s">
        <v>62</v>
      </c>
      <c r="B39" s="8">
        <v>0.3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43.25" customHeight="1">
      <c r="A40" s="4" t="s">
        <v>63</v>
      </c>
      <c r="B40" s="8">
        <v>0.09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65" customHeight="1">
      <c r="A41" s="4" t="s">
        <v>64</v>
      </c>
      <c r="B41" s="8">
        <v>0.14000000000000001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6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6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6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6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6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6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6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6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6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6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6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6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6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6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6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6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6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6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6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6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6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6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6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6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6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6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6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6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6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6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6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6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6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6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6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6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6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6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6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6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6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6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6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6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6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6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6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6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6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6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6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6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6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6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6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6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6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6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6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>
      <selection sqref="A1:M2"/>
    </sheetView>
  </sheetViews>
  <sheetFormatPr baseColWidth="10" defaultColWidth="8.83203125" defaultRowHeight="14"/>
  <cols>
    <col min="1" max="1" width="34" customWidth="1"/>
    <col min="2" max="13" width="16" customWidth="1"/>
  </cols>
  <sheetData>
    <row r="1" spans="1:26" ht="151.75" customHeight="1">
      <c r="A1" s="102" t="s">
        <v>65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6.7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6.75" customHeight="1">
      <c r="A3" s="15" t="s">
        <v>37</v>
      </c>
      <c r="B3" s="15" t="s">
        <v>66</v>
      </c>
      <c r="C3" s="15" t="s">
        <v>67</v>
      </c>
      <c r="D3" s="15" t="s">
        <v>68</v>
      </c>
      <c r="E3" s="15" t="s">
        <v>69</v>
      </c>
      <c r="F3" s="15" t="s">
        <v>70</v>
      </c>
      <c r="G3" s="15" t="s">
        <v>71</v>
      </c>
      <c r="H3" s="15" t="s">
        <v>72</v>
      </c>
      <c r="I3" s="15" t="s">
        <v>73</v>
      </c>
      <c r="J3" s="15" t="s">
        <v>74</v>
      </c>
      <c r="K3" s="15" t="s">
        <v>75</v>
      </c>
      <c r="L3" s="16" t="s">
        <v>76</v>
      </c>
      <c r="M3" s="16" t="s">
        <v>77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6.75" customHeight="1">
      <c r="A4" s="4" t="s">
        <v>78</v>
      </c>
      <c r="B4" s="4">
        <v>2025</v>
      </c>
      <c r="C4" s="4">
        <v>2025</v>
      </c>
      <c r="D4" s="4">
        <v>2025</v>
      </c>
      <c r="E4" s="4">
        <v>2025</v>
      </c>
      <c r="F4" s="4">
        <v>2026</v>
      </c>
      <c r="G4" s="4">
        <v>2026</v>
      </c>
      <c r="H4" s="4">
        <v>2026</v>
      </c>
      <c r="I4" s="4">
        <v>2026</v>
      </c>
      <c r="J4" s="4">
        <v>2027</v>
      </c>
      <c r="K4" s="4">
        <v>2027</v>
      </c>
      <c r="L4" s="3">
        <v>2027</v>
      </c>
      <c r="M4" s="3">
        <v>2027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43.25" customHeight="1">
      <c r="A5" s="4" t="s">
        <v>79</v>
      </c>
      <c r="B5" s="11">
        <v>45658</v>
      </c>
      <c r="C5" s="11">
        <v>45748</v>
      </c>
      <c r="D5" s="11">
        <v>45839</v>
      </c>
      <c r="E5" s="11">
        <v>45931</v>
      </c>
      <c r="F5" s="11">
        <v>46023</v>
      </c>
      <c r="G5" s="11">
        <v>46113</v>
      </c>
      <c r="H5" s="11">
        <v>46204</v>
      </c>
      <c r="I5" s="11">
        <v>46296</v>
      </c>
      <c r="J5" s="11">
        <v>46388</v>
      </c>
      <c r="K5" s="11">
        <v>46478</v>
      </c>
      <c r="L5" s="20">
        <v>46569</v>
      </c>
      <c r="M5" s="20">
        <v>46661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43.25" customHeight="1">
      <c r="A6" s="4" t="s">
        <v>80</v>
      </c>
      <c r="B6" s="11">
        <v>45747</v>
      </c>
      <c r="C6" s="11">
        <v>45838</v>
      </c>
      <c r="D6" s="11">
        <v>45930</v>
      </c>
      <c r="E6" s="11">
        <v>46022</v>
      </c>
      <c r="F6" s="11">
        <v>46112</v>
      </c>
      <c r="G6" s="11">
        <v>46203</v>
      </c>
      <c r="H6" s="11">
        <v>46295</v>
      </c>
      <c r="I6" s="11">
        <v>46387</v>
      </c>
      <c r="J6" s="11">
        <v>46477</v>
      </c>
      <c r="K6" s="11">
        <v>46568</v>
      </c>
      <c r="L6" s="20">
        <v>46660</v>
      </c>
      <c r="M6" s="20">
        <v>46752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43.25" customHeight="1">
      <c r="A7" s="4" t="s">
        <v>81</v>
      </c>
      <c r="B7" s="4">
        <v>90</v>
      </c>
      <c r="C7" s="4">
        <v>91</v>
      </c>
      <c r="D7" s="4">
        <v>92</v>
      </c>
      <c r="E7" s="4">
        <v>92</v>
      </c>
      <c r="F7" s="4">
        <v>90</v>
      </c>
      <c r="G7" s="4">
        <v>91</v>
      </c>
      <c r="H7" s="4">
        <v>92</v>
      </c>
      <c r="I7" s="4">
        <v>92</v>
      </c>
      <c r="J7" s="4">
        <v>90</v>
      </c>
      <c r="K7" s="4">
        <v>91</v>
      </c>
      <c r="L7" s="3">
        <v>92</v>
      </c>
      <c r="M7" s="3">
        <v>92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3.25" customHeight="1">
      <c r="A8" s="4" t="s">
        <v>82</v>
      </c>
      <c r="B8" s="4">
        <v>365</v>
      </c>
      <c r="C8" s="4">
        <v>365</v>
      </c>
      <c r="D8" s="4">
        <v>365</v>
      </c>
      <c r="E8" s="4">
        <v>365</v>
      </c>
      <c r="F8" s="4">
        <v>365</v>
      </c>
      <c r="G8" s="4">
        <v>365</v>
      </c>
      <c r="H8" s="4">
        <v>365</v>
      </c>
      <c r="I8" s="4">
        <v>365</v>
      </c>
      <c r="J8" s="4">
        <v>365</v>
      </c>
      <c r="K8" s="4">
        <v>365</v>
      </c>
      <c r="L8" s="3">
        <v>365</v>
      </c>
      <c r="M8" s="3">
        <v>365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3.25" customHeight="1">
      <c r="A9" s="4" t="s">
        <v>83</v>
      </c>
      <c r="B9" s="4">
        <v>1</v>
      </c>
      <c r="C9" s="4">
        <v>2</v>
      </c>
      <c r="D9" s="4">
        <v>3</v>
      </c>
      <c r="E9" s="4">
        <v>4</v>
      </c>
      <c r="F9" s="4">
        <v>5</v>
      </c>
      <c r="G9" s="4">
        <v>6</v>
      </c>
      <c r="H9" s="4">
        <v>7</v>
      </c>
      <c r="I9" s="4">
        <v>8</v>
      </c>
      <c r="J9" s="4">
        <v>9</v>
      </c>
      <c r="K9" s="4">
        <v>10</v>
      </c>
      <c r="L9" s="3">
        <v>11</v>
      </c>
      <c r="M9" s="3">
        <v>12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86.75" customHeight="1">
      <c r="A10" s="17" t="s">
        <v>84</v>
      </c>
      <c r="B10" s="18" t="s">
        <v>85</v>
      </c>
      <c r="C10" s="18" t="s">
        <v>86</v>
      </c>
      <c r="D10" s="18" t="s">
        <v>86</v>
      </c>
      <c r="E10" s="18" t="s">
        <v>86</v>
      </c>
      <c r="F10" s="18" t="s">
        <v>86</v>
      </c>
      <c r="G10" s="18" t="s">
        <v>86</v>
      </c>
      <c r="H10" s="18" t="s">
        <v>86</v>
      </c>
      <c r="I10" s="18" t="s">
        <v>86</v>
      </c>
      <c r="J10" s="18" t="s">
        <v>86</v>
      </c>
      <c r="K10" s="18" t="s">
        <v>86</v>
      </c>
      <c r="L10" s="19" t="s">
        <v>86</v>
      </c>
      <c r="M10" s="19" t="s">
        <v>87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3.25" customHeight="1">
      <c r="A11" s="17" t="s">
        <v>88</v>
      </c>
      <c r="B11" s="21">
        <f t="shared" ref="B11:M11" si="0">IF(B9=1,30%,70%/11)</f>
        <v>0.3</v>
      </c>
      <c r="C11" s="21">
        <f t="shared" si="0"/>
        <v>6.363636363636363E-2</v>
      </c>
      <c r="D11" s="21">
        <f t="shared" si="0"/>
        <v>6.363636363636363E-2</v>
      </c>
      <c r="E11" s="21">
        <f t="shared" si="0"/>
        <v>6.363636363636363E-2</v>
      </c>
      <c r="F11" s="21">
        <f t="shared" si="0"/>
        <v>6.363636363636363E-2</v>
      </c>
      <c r="G11" s="21">
        <f t="shared" si="0"/>
        <v>6.363636363636363E-2</v>
      </c>
      <c r="H11" s="21">
        <f t="shared" si="0"/>
        <v>6.363636363636363E-2</v>
      </c>
      <c r="I11" s="21">
        <f t="shared" si="0"/>
        <v>6.363636363636363E-2</v>
      </c>
      <c r="J11" s="21">
        <f t="shared" si="0"/>
        <v>6.363636363636363E-2</v>
      </c>
      <c r="K11" s="21">
        <f t="shared" si="0"/>
        <v>6.363636363636363E-2</v>
      </c>
      <c r="L11" s="22">
        <f t="shared" si="0"/>
        <v>6.363636363636363E-2</v>
      </c>
      <c r="M11" s="22">
        <f t="shared" si="0"/>
        <v>6.363636363636363E-2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86.75" customHeight="1">
      <c r="A12" s="4" t="s">
        <v>89</v>
      </c>
      <c r="B12" s="23">
        <f>Control!$B$8*B11</f>
        <v>24569466.899999999</v>
      </c>
      <c r="C12" s="23">
        <f>Control!$B$8*C11</f>
        <v>5211705.0999999996</v>
      </c>
      <c r="D12" s="23">
        <f>Control!$B$8*D11</f>
        <v>5211705.0999999996</v>
      </c>
      <c r="E12" s="23">
        <f>Control!$B$8*E11</f>
        <v>5211705.0999999996</v>
      </c>
      <c r="F12" s="23">
        <f>Control!$B$8*F11</f>
        <v>5211705.0999999996</v>
      </c>
      <c r="G12" s="23">
        <f>Control!$B$8*G11</f>
        <v>5211705.0999999996</v>
      </c>
      <c r="H12" s="23">
        <f>Control!$B$8*H11</f>
        <v>5211705.0999999996</v>
      </c>
      <c r="I12" s="23">
        <f>Control!$B$8*I11</f>
        <v>5211705.0999999996</v>
      </c>
      <c r="J12" s="23">
        <f>Control!$B$8*J11</f>
        <v>5211705.0999999996</v>
      </c>
      <c r="K12" s="23">
        <f>Control!$B$8*K11</f>
        <v>5211705.0999999996</v>
      </c>
      <c r="L12" s="24">
        <f>Control!$B$8*L11</f>
        <v>5211705.0999999996</v>
      </c>
      <c r="M12" s="24">
        <f>Control!$B$8*M11</f>
        <v>5211705.0999999996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3.25" customHeight="1">
      <c r="A13" s="4" t="s">
        <v>90</v>
      </c>
      <c r="B13" s="23">
        <f t="shared" ref="B13:M13" si="1">B12*70%</f>
        <v>17198626.829999998</v>
      </c>
      <c r="C13" s="23">
        <f t="shared" si="1"/>
        <v>3648193.5699999994</v>
      </c>
      <c r="D13" s="23">
        <f t="shared" si="1"/>
        <v>3648193.5699999994</v>
      </c>
      <c r="E13" s="23">
        <f t="shared" si="1"/>
        <v>3648193.5699999994</v>
      </c>
      <c r="F13" s="23">
        <f t="shared" si="1"/>
        <v>3648193.5699999994</v>
      </c>
      <c r="G13" s="23">
        <f t="shared" si="1"/>
        <v>3648193.5699999994</v>
      </c>
      <c r="H13" s="23">
        <f t="shared" si="1"/>
        <v>3648193.5699999994</v>
      </c>
      <c r="I13" s="23">
        <f t="shared" si="1"/>
        <v>3648193.5699999994</v>
      </c>
      <c r="J13" s="23">
        <f t="shared" si="1"/>
        <v>3648193.5699999994</v>
      </c>
      <c r="K13" s="23">
        <f t="shared" si="1"/>
        <v>3648193.5699999994</v>
      </c>
      <c r="L13" s="24">
        <f t="shared" si="1"/>
        <v>3648193.5699999994</v>
      </c>
      <c r="M13" s="24">
        <f t="shared" si="1"/>
        <v>3648193.5699999994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6.75" customHeight="1">
      <c r="A14" s="3" t="s">
        <v>91</v>
      </c>
      <c r="B14" s="24">
        <f t="shared" ref="B14:M14" si="2">B12*30%</f>
        <v>7370840.0699999994</v>
      </c>
      <c r="C14" s="24">
        <f t="shared" si="2"/>
        <v>1563511.5299999998</v>
      </c>
      <c r="D14" s="24">
        <f t="shared" si="2"/>
        <v>1563511.5299999998</v>
      </c>
      <c r="E14" s="24">
        <f t="shared" si="2"/>
        <v>1563511.5299999998</v>
      </c>
      <c r="F14" s="24">
        <f t="shared" si="2"/>
        <v>1563511.5299999998</v>
      </c>
      <c r="G14" s="24">
        <f t="shared" si="2"/>
        <v>1563511.5299999998</v>
      </c>
      <c r="H14" s="24">
        <f t="shared" si="2"/>
        <v>1563511.5299999998</v>
      </c>
      <c r="I14" s="24">
        <f t="shared" si="2"/>
        <v>1563511.5299999998</v>
      </c>
      <c r="J14" s="24">
        <f t="shared" si="2"/>
        <v>1563511.5299999998</v>
      </c>
      <c r="K14" s="24">
        <f t="shared" si="2"/>
        <v>1563511.5299999998</v>
      </c>
      <c r="L14" s="24">
        <f t="shared" si="2"/>
        <v>1563511.5299999998</v>
      </c>
      <c r="M14" s="24">
        <f t="shared" si="2"/>
        <v>1563511.5299999998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6.75" customHeight="1">
      <c r="A15" s="3" t="s">
        <v>92</v>
      </c>
      <c r="B15" s="24">
        <f>0</f>
        <v>0</v>
      </c>
      <c r="C15" s="24">
        <f>0</f>
        <v>0</v>
      </c>
      <c r="D15" s="24">
        <f>0</f>
        <v>0</v>
      </c>
      <c r="E15" s="24">
        <f>0</f>
        <v>0</v>
      </c>
      <c r="F15" s="24">
        <f>0</f>
        <v>0</v>
      </c>
      <c r="G15" s="24">
        <f>0</f>
        <v>0</v>
      </c>
      <c r="H15" s="24">
        <f>0</f>
        <v>0</v>
      </c>
      <c r="I15" s="24">
        <f>0</f>
        <v>0</v>
      </c>
      <c r="J15" s="24">
        <f>0</f>
        <v>0</v>
      </c>
      <c r="K15" s="24">
        <f>0</f>
        <v>0</v>
      </c>
      <c r="L15" s="24">
        <f>0</f>
        <v>0</v>
      </c>
      <c r="M15" s="24">
        <f>SUM(Deuda_60_Meses!$F$11:$F$16)</f>
        <v>8479878.5064583346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6.75" customHeight="1">
      <c r="A16" s="3" t="s">
        <v>93</v>
      </c>
      <c r="B16" s="24">
        <f t="shared" ref="B16:M16" si="3">B12+B15</f>
        <v>24569466.899999999</v>
      </c>
      <c r="C16" s="24">
        <f t="shared" si="3"/>
        <v>5211705.0999999996</v>
      </c>
      <c r="D16" s="24">
        <f t="shared" si="3"/>
        <v>5211705.0999999996</v>
      </c>
      <c r="E16" s="24">
        <f t="shared" si="3"/>
        <v>5211705.0999999996</v>
      </c>
      <c r="F16" s="24">
        <f t="shared" si="3"/>
        <v>5211705.0999999996</v>
      </c>
      <c r="G16" s="24">
        <f t="shared" si="3"/>
        <v>5211705.0999999996</v>
      </c>
      <c r="H16" s="24">
        <f t="shared" si="3"/>
        <v>5211705.0999999996</v>
      </c>
      <c r="I16" s="24">
        <f t="shared" si="3"/>
        <v>5211705.0999999996</v>
      </c>
      <c r="J16" s="24">
        <f t="shared" si="3"/>
        <v>5211705.0999999996</v>
      </c>
      <c r="K16" s="24">
        <f t="shared" si="3"/>
        <v>5211705.0999999996</v>
      </c>
      <c r="L16" s="24">
        <f t="shared" si="3"/>
        <v>5211705.0999999996</v>
      </c>
      <c r="M16" s="24">
        <f t="shared" si="3"/>
        <v>13691583.606458334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6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6.75" customHeight="1">
      <c r="A18" s="103" t="s">
        <v>94</v>
      </c>
      <c r="B18" s="103"/>
      <c r="C18" s="103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6.75" customHeight="1">
      <c r="A19" s="101" t="s">
        <v>95</v>
      </c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6.75" customHeight="1">
      <c r="A20" s="101" t="s">
        <v>96</v>
      </c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6.75" customHeight="1">
      <c r="A21" s="101" t="s">
        <v>97</v>
      </c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6.75" customHeight="1">
      <c r="A22" s="101" t="s">
        <v>98</v>
      </c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6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6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6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6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6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6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6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6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6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6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6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6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6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6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6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6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6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6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6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6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6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6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6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6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6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6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6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6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6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6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6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6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6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6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6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6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6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6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6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6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6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6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6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6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6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6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6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6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6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6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6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6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6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6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6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6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6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6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6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6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6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6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6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6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6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6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6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6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6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6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6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6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6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6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6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6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6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6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</sheetData>
  <mergeCells count="6">
    <mergeCell ref="A22:M22"/>
    <mergeCell ref="A1:M2"/>
    <mergeCell ref="A18:M18"/>
    <mergeCell ref="A19:M19"/>
    <mergeCell ref="A20:M20"/>
    <mergeCell ref="A21:M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0"/>
  <sheetViews>
    <sheetView workbookViewId="0">
      <selection activeCell="K24" sqref="K24"/>
    </sheetView>
  </sheetViews>
  <sheetFormatPr baseColWidth="10" defaultColWidth="8.83203125" defaultRowHeight="14"/>
  <cols>
    <col min="1" max="1" width="30.5" customWidth="1"/>
    <col min="2" max="7" width="18" customWidth="1"/>
    <col min="8" max="8" width="58" customWidth="1"/>
  </cols>
  <sheetData>
    <row r="1" spans="1:8" ht="18">
      <c r="A1" s="104" t="s">
        <v>99</v>
      </c>
      <c r="B1" s="104"/>
      <c r="C1" s="104"/>
      <c r="D1" s="104"/>
      <c r="E1" s="104"/>
      <c r="F1" s="104"/>
      <c r="G1" s="104"/>
      <c r="H1" s="105"/>
    </row>
    <row r="3" spans="1:8" ht="15">
      <c r="A3" t="s">
        <v>100</v>
      </c>
      <c r="B3" s="26">
        <f>81898223*0.7</f>
        <v>57328756.099999994</v>
      </c>
      <c r="C3" t="s">
        <v>101</v>
      </c>
    </row>
    <row r="4" spans="1:8" ht="15">
      <c r="A4" t="s">
        <v>102</v>
      </c>
      <c r="B4" s="27">
        <f>10%</f>
        <v>0.1</v>
      </c>
    </row>
    <row r="5" spans="1:8" ht="15">
      <c r="A5" t="s">
        <v>103</v>
      </c>
      <c r="B5" s="28">
        <f>60</f>
        <v>60</v>
      </c>
    </row>
    <row r="6" spans="1:8" ht="15">
      <c r="A6" t="s">
        <v>104</v>
      </c>
      <c r="B6" s="27">
        <f>B4/12</f>
        <v>8.3333333333333332E-3</v>
      </c>
    </row>
    <row r="7" spans="1:8" ht="15">
      <c r="A7" t="s">
        <v>105</v>
      </c>
      <c r="B7" s="26">
        <f>B3/B5</f>
        <v>955479.2683333332</v>
      </c>
    </row>
    <row r="8" spans="1:8" ht="15">
      <c r="A8" t="s">
        <v>92</v>
      </c>
      <c r="B8" s="26">
        <f>SUM(F11:F16)</f>
        <v>8479878.5064583346</v>
      </c>
    </row>
    <row r="10" spans="1:8" ht="15">
      <c r="A10" s="25" t="s">
        <v>106</v>
      </c>
      <c r="B10" s="25" t="s">
        <v>107</v>
      </c>
      <c r="C10" s="25" t="s">
        <v>108</v>
      </c>
      <c r="D10" s="25" t="s">
        <v>109</v>
      </c>
      <c r="E10" s="25" t="s">
        <v>110</v>
      </c>
      <c r="F10" s="25" t="s">
        <v>111</v>
      </c>
      <c r="G10" s="25" t="s">
        <v>112</v>
      </c>
      <c r="H10" s="25" t="s">
        <v>113</v>
      </c>
    </row>
    <row r="11" spans="1:8">
      <c r="A11">
        <v>1</v>
      </c>
      <c r="B11" s="29">
        <f>IF(A11=1,$B$3,G10)</f>
        <v>57328756.099999994</v>
      </c>
      <c r="C11" s="29">
        <f t="shared" ref="C11:C42" si="0">B11*$B$6</f>
        <v>477739.6341666666</v>
      </c>
      <c r="D11" s="29">
        <f>$B$7</f>
        <v>955479.2683333332</v>
      </c>
      <c r="E11" s="29">
        <f t="shared" ref="E11:E42" si="1">C11+D11</f>
        <v>1433218.9024999999</v>
      </c>
      <c r="F11" s="29">
        <f t="shared" ref="F11:F42" si="2">IF(A11&lt;=6,E11,0)</f>
        <v>1433218.9024999999</v>
      </c>
      <c r="G11" s="29">
        <f t="shared" ref="G11:G42" si="3">B11-D11</f>
        <v>56373276.831666663</v>
      </c>
      <c r="H11" t="str">
        <f t="shared" ref="H11:H42" si="4">"Curva pareja: misma amortización mensual; interés baja conforme baja el saldo."</f>
        <v>Curva pareja: misma amortización mensual; interés baja conforme baja el saldo.</v>
      </c>
    </row>
    <row r="12" spans="1:8">
      <c r="A12">
        <v>2</v>
      </c>
      <c r="B12" s="29">
        <f t="shared" ref="B12:B42" si="5">IF(A12=1,$B$3,G11)</f>
        <v>56373276.831666663</v>
      </c>
      <c r="C12" s="29">
        <f t="shared" si="0"/>
        <v>469777.3069305555</v>
      </c>
      <c r="D12" s="29">
        <f>$B$7</f>
        <v>955479.2683333332</v>
      </c>
      <c r="E12" s="29">
        <f t="shared" si="1"/>
        <v>1425256.5752638886</v>
      </c>
      <c r="F12" s="29">
        <f t="shared" si="2"/>
        <v>1425256.5752638886</v>
      </c>
      <c r="G12" s="29">
        <f t="shared" si="3"/>
        <v>55417797.563333333</v>
      </c>
      <c r="H12" t="str">
        <f t="shared" si="4"/>
        <v>Curva pareja: misma amortización mensual; interés baja conforme baja el saldo.</v>
      </c>
    </row>
    <row r="13" spans="1:8">
      <c r="A13">
        <v>3</v>
      </c>
      <c r="B13" s="29">
        <f t="shared" si="5"/>
        <v>55417797.563333333</v>
      </c>
      <c r="C13" s="29">
        <f t="shared" si="0"/>
        <v>461814.97969444445</v>
      </c>
      <c r="D13" s="29">
        <f t="shared" ref="D13:D42" si="6">$B$7</f>
        <v>955479.2683333332</v>
      </c>
      <c r="E13" s="29">
        <f t="shared" si="1"/>
        <v>1417294.2480277778</v>
      </c>
      <c r="F13" s="29">
        <f t="shared" si="2"/>
        <v>1417294.2480277778</v>
      </c>
      <c r="G13" s="29">
        <f t="shared" si="3"/>
        <v>54462318.295000002</v>
      </c>
      <c r="H13" t="str">
        <f t="shared" si="4"/>
        <v>Curva pareja: misma amortización mensual; interés baja conforme baja el saldo.</v>
      </c>
    </row>
    <row r="14" spans="1:8">
      <c r="A14">
        <v>4</v>
      </c>
      <c r="B14" s="29">
        <f t="shared" si="5"/>
        <v>54462318.295000002</v>
      </c>
      <c r="C14" s="29">
        <f t="shared" si="0"/>
        <v>453852.65245833335</v>
      </c>
      <c r="D14" s="29">
        <f t="shared" si="6"/>
        <v>955479.2683333332</v>
      </c>
      <c r="E14" s="29">
        <f t="shared" si="1"/>
        <v>1409331.9207916665</v>
      </c>
      <c r="F14" s="29">
        <f t="shared" si="2"/>
        <v>1409331.9207916665</v>
      </c>
      <c r="G14" s="29">
        <f t="shared" si="3"/>
        <v>53506839.026666671</v>
      </c>
      <c r="H14" t="str">
        <f t="shared" si="4"/>
        <v>Curva pareja: misma amortización mensual; interés baja conforme baja el saldo.</v>
      </c>
    </row>
    <row r="15" spans="1:8">
      <c r="A15">
        <v>5</v>
      </c>
      <c r="B15" s="29">
        <f t="shared" si="5"/>
        <v>53506839.026666671</v>
      </c>
      <c r="C15" s="29">
        <f t="shared" si="0"/>
        <v>445890.32522222225</v>
      </c>
      <c r="D15" s="29">
        <f t="shared" si="6"/>
        <v>955479.2683333332</v>
      </c>
      <c r="E15" s="29">
        <f t="shared" si="1"/>
        <v>1401369.5935555554</v>
      </c>
      <c r="F15" s="29">
        <f t="shared" si="2"/>
        <v>1401369.5935555554</v>
      </c>
      <c r="G15" s="29">
        <f t="shared" si="3"/>
        <v>52551359.75833334</v>
      </c>
      <c r="H15" t="str">
        <f t="shared" si="4"/>
        <v>Curva pareja: misma amortización mensual; interés baja conforme baja el saldo.</v>
      </c>
    </row>
    <row r="16" spans="1:8">
      <c r="A16">
        <v>6</v>
      </c>
      <c r="B16" s="29">
        <f t="shared" si="5"/>
        <v>52551359.75833334</v>
      </c>
      <c r="C16" s="29">
        <f t="shared" si="0"/>
        <v>437927.99798611115</v>
      </c>
      <c r="D16" s="29">
        <f t="shared" si="6"/>
        <v>955479.2683333332</v>
      </c>
      <c r="E16" s="29">
        <f t="shared" si="1"/>
        <v>1393407.2663194444</v>
      </c>
      <c r="F16" s="29">
        <f t="shared" si="2"/>
        <v>1393407.2663194444</v>
      </c>
      <c r="G16" s="29">
        <f t="shared" si="3"/>
        <v>51595880.49000001</v>
      </c>
      <c r="H16" t="str">
        <f t="shared" si="4"/>
        <v>Curva pareja: misma amortización mensual; interés baja conforme baja el saldo.</v>
      </c>
    </row>
    <row r="17" spans="1:8">
      <c r="A17">
        <v>7</v>
      </c>
      <c r="B17" s="29">
        <f t="shared" si="5"/>
        <v>51595880.49000001</v>
      </c>
      <c r="C17" s="29">
        <f t="shared" si="0"/>
        <v>429965.67075000005</v>
      </c>
      <c r="D17" s="29">
        <f t="shared" si="6"/>
        <v>955479.2683333332</v>
      </c>
      <c r="E17" s="29">
        <f t="shared" si="1"/>
        <v>1385444.9390833331</v>
      </c>
      <c r="F17" s="29">
        <f t="shared" si="2"/>
        <v>0</v>
      </c>
      <c r="G17" s="29">
        <f t="shared" si="3"/>
        <v>50640401.221666679</v>
      </c>
      <c r="H17" t="str">
        <f t="shared" si="4"/>
        <v>Curva pareja: misma amortización mensual; interés baja conforme baja el saldo.</v>
      </c>
    </row>
    <row r="18" spans="1:8">
      <c r="A18">
        <v>8</v>
      </c>
      <c r="B18" s="29">
        <f t="shared" si="5"/>
        <v>50640401.221666679</v>
      </c>
      <c r="C18" s="29">
        <f t="shared" si="0"/>
        <v>422003.34351388901</v>
      </c>
      <c r="D18" s="29">
        <f t="shared" si="6"/>
        <v>955479.2683333332</v>
      </c>
      <c r="E18" s="29">
        <f t="shared" si="1"/>
        <v>1377482.6118472223</v>
      </c>
      <c r="F18" s="29">
        <f t="shared" si="2"/>
        <v>0</v>
      </c>
      <c r="G18" s="29">
        <f t="shared" si="3"/>
        <v>49684921.953333348</v>
      </c>
      <c r="H18" t="str">
        <f t="shared" si="4"/>
        <v>Curva pareja: misma amortización mensual; interés baja conforme baja el saldo.</v>
      </c>
    </row>
    <row r="19" spans="1:8">
      <c r="A19">
        <v>9</v>
      </c>
      <c r="B19" s="29">
        <f t="shared" si="5"/>
        <v>49684921.953333348</v>
      </c>
      <c r="C19" s="29">
        <f t="shared" si="0"/>
        <v>414041.0162777779</v>
      </c>
      <c r="D19" s="29">
        <f t="shared" si="6"/>
        <v>955479.2683333332</v>
      </c>
      <c r="E19" s="29">
        <f t="shared" si="1"/>
        <v>1369520.284611111</v>
      </c>
      <c r="F19" s="29">
        <f t="shared" si="2"/>
        <v>0</v>
      </c>
      <c r="G19" s="29">
        <f t="shared" si="3"/>
        <v>48729442.685000017</v>
      </c>
      <c r="H19" t="str">
        <f t="shared" si="4"/>
        <v>Curva pareja: misma amortización mensual; interés baja conforme baja el saldo.</v>
      </c>
    </row>
    <row r="20" spans="1:8">
      <c r="A20">
        <v>10</v>
      </c>
      <c r="B20" s="29">
        <f t="shared" si="5"/>
        <v>48729442.685000017</v>
      </c>
      <c r="C20" s="29">
        <f t="shared" si="0"/>
        <v>406078.6890416668</v>
      </c>
      <c r="D20" s="29">
        <f t="shared" si="6"/>
        <v>955479.2683333332</v>
      </c>
      <c r="E20" s="29">
        <f t="shared" si="1"/>
        <v>1361557.957375</v>
      </c>
      <c r="F20" s="29">
        <f t="shared" si="2"/>
        <v>0</v>
      </c>
      <c r="G20" s="29">
        <f t="shared" si="3"/>
        <v>47773963.416666687</v>
      </c>
      <c r="H20" t="str">
        <f t="shared" si="4"/>
        <v>Curva pareja: misma amortización mensual; interés baja conforme baja el saldo.</v>
      </c>
    </row>
    <row r="21" spans="1:8">
      <c r="A21">
        <v>11</v>
      </c>
      <c r="B21" s="29">
        <f t="shared" si="5"/>
        <v>47773963.416666687</v>
      </c>
      <c r="C21" s="29">
        <f t="shared" si="0"/>
        <v>398116.3618055557</v>
      </c>
      <c r="D21" s="29">
        <f t="shared" si="6"/>
        <v>955479.2683333332</v>
      </c>
      <c r="E21" s="29">
        <f t="shared" si="1"/>
        <v>1353595.630138889</v>
      </c>
      <c r="F21" s="29">
        <f t="shared" si="2"/>
        <v>0</v>
      </c>
      <c r="G21" s="29">
        <f t="shared" si="3"/>
        <v>46818484.148333356</v>
      </c>
      <c r="H21" t="str">
        <f t="shared" si="4"/>
        <v>Curva pareja: misma amortización mensual; interés baja conforme baja el saldo.</v>
      </c>
    </row>
    <row r="22" spans="1:8">
      <c r="A22">
        <v>12</v>
      </c>
      <c r="B22" s="29">
        <f t="shared" si="5"/>
        <v>46818484.148333356</v>
      </c>
      <c r="C22" s="29">
        <f t="shared" si="0"/>
        <v>390154.0345694446</v>
      </c>
      <c r="D22" s="29">
        <f t="shared" si="6"/>
        <v>955479.2683333332</v>
      </c>
      <c r="E22" s="29">
        <f t="shared" si="1"/>
        <v>1345633.3029027777</v>
      </c>
      <c r="F22" s="29">
        <f t="shared" si="2"/>
        <v>0</v>
      </c>
      <c r="G22" s="29">
        <f t="shared" si="3"/>
        <v>45863004.880000025</v>
      </c>
      <c r="H22" t="str">
        <f t="shared" si="4"/>
        <v>Curva pareja: misma amortización mensual; interés baja conforme baja el saldo.</v>
      </c>
    </row>
    <row r="23" spans="1:8">
      <c r="A23">
        <v>13</v>
      </c>
      <c r="B23" s="29">
        <f t="shared" si="5"/>
        <v>45863004.880000025</v>
      </c>
      <c r="C23" s="29">
        <f t="shared" si="0"/>
        <v>382191.70733333356</v>
      </c>
      <c r="D23" s="29">
        <f t="shared" si="6"/>
        <v>955479.2683333332</v>
      </c>
      <c r="E23" s="29">
        <f t="shared" si="1"/>
        <v>1337670.9756666669</v>
      </c>
      <c r="F23" s="29">
        <f t="shared" si="2"/>
        <v>0</v>
      </c>
      <c r="G23" s="29">
        <f t="shared" si="3"/>
        <v>44907525.611666694</v>
      </c>
      <c r="H23" t="str">
        <f t="shared" si="4"/>
        <v>Curva pareja: misma amortización mensual; interés baja conforme baja el saldo.</v>
      </c>
    </row>
    <row r="24" spans="1:8">
      <c r="A24">
        <v>14</v>
      </c>
      <c r="B24" s="29">
        <f t="shared" si="5"/>
        <v>44907525.611666694</v>
      </c>
      <c r="C24" s="29">
        <f t="shared" si="0"/>
        <v>374229.38009722246</v>
      </c>
      <c r="D24" s="29">
        <f t="shared" si="6"/>
        <v>955479.2683333332</v>
      </c>
      <c r="E24" s="29">
        <f t="shared" si="1"/>
        <v>1329708.6484305556</v>
      </c>
      <c r="F24" s="29">
        <f t="shared" si="2"/>
        <v>0</v>
      </c>
      <c r="G24" s="29">
        <f t="shared" si="3"/>
        <v>43952046.343333364</v>
      </c>
      <c r="H24" t="str">
        <f t="shared" si="4"/>
        <v>Curva pareja: misma amortización mensual; interés baja conforme baja el saldo.</v>
      </c>
    </row>
    <row r="25" spans="1:8">
      <c r="A25">
        <v>15</v>
      </c>
      <c r="B25" s="29">
        <f t="shared" si="5"/>
        <v>43952046.343333364</v>
      </c>
      <c r="C25" s="29">
        <f t="shared" si="0"/>
        <v>366267.05286111136</v>
      </c>
      <c r="D25" s="29">
        <f t="shared" si="6"/>
        <v>955479.2683333332</v>
      </c>
      <c r="E25" s="29">
        <f t="shared" si="1"/>
        <v>1321746.3211944446</v>
      </c>
      <c r="F25" s="29">
        <f t="shared" si="2"/>
        <v>0</v>
      </c>
      <c r="G25" s="29">
        <f t="shared" si="3"/>
        <v>42996567.075000033</v>
      </c>
      <c r="H25" t="str">
        <f t="shared" si="4"/>
        <v>Curva pareja: misma amortización mensual; interés baja conforme baja el saldo.</v>
      </c>
    </row>
    <row r="26" spans="1:8">
      <c r="A26">
        <v>16</v>
      </c>
      <c r="B26" s="29">
        <f t="shared" si="5"/>
        <v>42996567.075000033</v>
      </c>
      <c r="C26" s="29">
        <f t="shared" si="0"/>
        <v>358304.72562500025</v>
      </c>
      <c r="D26" s="29">
        <f t="shared" si="6"/>
        <v>955479.2683333332</v>
      </c>
      <c r="E26" s="29">
        <f t="shared" si="1"/>
        <v>1313783.9939583335</v>
      </c>
      <c r="F26" s="29">
        <f t="shared" si="2"/>
        <v>0</v>
      </c>
      <c r="G26" s="29">
        <f t="shared" si="3"/>
        <v>42041087.806666702</v>
      </c>
      <c r="H26" t="str">
        <f t="shared" si="4"/>
        <v>Curva pareja: misma amortización mensual; interés baja conforme baja el saldo.</v>
      </c>
    </row>
    <row r="27" spans="1:8">
      <c r="A27">
        <v>17</v>
      </c>
      <c r="B27" s="29">
        <f t="shared" si="5"/>
        <v>42041087.806666702</v>
      </c>
      <c r="C27" s="29">
        <f t="shared" si="0"/>
        <v>350342.39838888915</v>
      </c>
      <c r="D27" s="29">
        <f t="shared" si="6"/>
        <v>955479.2683333332</v>
      </c>
      <c r="E27" s="29">
        <f t="shared" si="1"/>
        <v>1305821.6667222222</v>
      </c>
      <c r="F27" s="29">
        <f t="shared" si="2"/>
        <v>0</v>
      </c>
      <c r="G27" s="29">
        <f t="shared" si="3"/>
        <v>41085608.538333371</v>
      </c>
      <c r="H27" t="str">
        <f t="shared" si="4"/>
        <v>Curva pareja: misma amortización mensual; interés baja conforme baja el saldo.</v>
      </c>
    </row>
    <row r="28" spans="1:8">
      <c r="A28">
        <v>18</v>
      </c>
      <c r="B28" s="29">
        <f t="shared" si="5"/>
        <v>41085608.538333371</v>
      </c>
      <c r="C28" s="29">
        <f t="shared" si="0"/>
        <v>342380.07115277811</v>
      </c>
      <c r="D28" s="29">
        <f t="shared" si="6"/>
        <v>955479.2683333332</v>
      </c>
      <c r="E28" s="29">
        <f t="shared" si="1"/>
        <v>1297859.3394861114</v>
      </c>
      <c r="F28" s="29">
        <f t="shared" si="2"/>
        <v>0</v>
      </c>
      <c r="G28" s="29">
        <f t="shared" si="3"/>
        <v>40130129.270000041</v>
      </c>
      <c r="H28" t="str">
        <f t="shared" si="4"/>
        <v>Curva pareja: misma amortización mensual; interés baja conforme baja el saldo.</v>
      </c>
    </row>
    <row r="29" spans="1:8">
      <c r="A29">
        <v>19</v>
      </c>
      <c r="B29" s="29">
        <f t="shared" si="5"/>
        <v>40130129.270000041</v>
      </c>
      <c r="C29" s="29">
        <f t="shared" si="0"/>
        <v>334417.74391666701</v>
      </c>
      <c r="D29" s="29">
        <f t="shared" si="6"/>
        <v>955479.2683333332</v>
      </c>
      <c r="E29" s="29">
        <f t="shared" si="1"/>
        <v>1289897.0122500001</v>
      </c>
      <c r="F29" s="29">
        <f t="shared" si="2"/>
        <v>0</v>
      </c>
      <c r="G29" s="29">
        <f t="shared" si="3"/>
        <v>39174650.00166671</v>
      </c>
      <c r="H29" t="str">
        <f t="shared" si="4"/>
        <v>Curva pareja: misma amortización mensual; interés baja conforme baja el saldo.</v>
      </c>
    </row>
    <row r="30" spans="1:8">
      <c r="A30">
        <v>20</v>
      </c>
      <c r="B30" s="29">
        <f t="shared" si="5"/>
        <v>39174650.00166671</v>
      </c>
      <c r="C30" s="29">
        <f t="shared" si="0"/>
        <v>326455.41668055591</v>
      </c>
      <c r="D30" s="29">
        <f t="shared" si="6"/>
        <v>955479.2683333332</v>
      </c>
      <c r="E30" s="29">
        <f t="shared" si="1"/>
        <v>1281934.6850138891</v>
      </c>
      <c r="F30" s="29">
        <f t="shared" si="2"/>
        <v>0</v>
      </c>
      <c r="G30" s="29">
        <f t="shared" si="3"/>
        <v>38219170.733333379</v>
      </c>
      <c r="H30" t="str">
        <f t="shared" si="4"/>
        <v>Curva pareja: misma amortización mensual; interés baja conforme baja el saldo.</v>
      </c>
    </row>
    <row r="31" spans="1:8">
      <c r="A31">
        <v>21</v>
      </c>
      <c r="B31" s="29">
        <f t="shared" si="5"/>
        <v>38219170.733333379</v>
      </c>
      <c r="C31" s="29">
        <f t="shared" si="0"/>
        <v>318493.08944444481</v>
      </c>
      <c r="D31" s="29">
        <f t="shared" si="6"/>
        <v>955479.2683333332</v>
      </c>
      <c r="E31" s="29">
        <f t="shared" si="1"/>
        <v>1273972.3577777781</v>
      </c>
      <c r="F31" s="29">
        <f t="shared" si="2"/>
        <v>0</v>
      </c>
      <c r="G31" s="29">
        <f t="shared" si="3"/>
        <v>37263691.465000048</v>
      </c>
      <c r="H31" t="str">
        <f t="shared" si="4"/>
        <v>Curva pareja: misma amortización mensual; interés baja conforme baja el saldo.</v>
      </c>
    </row>
    <row r="32" spans="1:8">
      <c r="A32">
        <v>22</v>
      </c>
      <c r="B32" s="29">
        <f t="shared" si="5"/>
        <v>37263691.465000048</v>
      </c>
      <c r="C32" s="29">
        <f t="shared" si="0"/>
        <v>310530.7622083337</v>
      </c>
      <c r="D32" s="29">
        <f t="shared" si="6"/>
        <v>955479.2683333332</v>
      </c>
      <c r="E32" s="29">
        <f t="shared" si="1"/>
        <v>1266010.0305416668</v>
      </c>
      <c r="F32" s="29">
        <f t="shared" si="2"/>
        <v>0</v>
      </c>
      <c r="G32" s="29">
        <f t="shared" si="3"/>
        <v>36308212.196666718</v>
      </c>
      <c r="H32" t="str">
        <f t="shared" si="4"/>
        <v>Curva pareja: misma amortización mensual; interés baja conforme baja el saldo.</v>
      </c>
    </row>
    <row r="33" spans="1:8">
      <c r="A33">
        <v>23</v>
      </c>
      <c r="B33" s="29">
        <f t="shared" si="5"/>
        <v>36308212.196666718</v>
      </c>
      <c r="C33" s="29">
        <f t="shared" si="0"/>
        <v>302568.43497222266</v>
      </c>
      <c r="D33" s="29">
        <f t="shared" si="6"/>
        <v>955479.2683333332</v>
      </c>
      <c r="E33" s="29">
        <f t="shared" si="1"/>
        <v>1258047.703305556</v>
      </c>
      <c r="F33" s="29">
        <f t="shared" si="2"/>
        <v>0</v>
      </c>
      <c r="G33" s="29">
        <f t="shared" si="3"/>
        <v>35352732.928333387</v>
      </c>
      <c r="H33" t="str">
        <f t="shared" si="4"/>
        <v>Curva pareja: misma amortización mensual; interés baja conforme baja el saldo.</v>
      </c>
    </row>
    <row r="34" spans="1:8">
      <c r="A34">
        <v>24</v>
      </c>
      <c r="B34" s="29">
        <f t="shared" si="5"/>
        <v>35352732.928333387</v>
      </c>
      <c r="C34" s="29">
        <f t="shared" si="0"/>
        <v>294606.10773611156</v>
      </c>
      <c r="D34" s="29">
        <f t="shared" si="6"/>
        <v>955479.2683333332</v>
      </c>
      <c r="E34" s="29">
        <f t="shared" si="1"/>
        <v>1250085.3760694447</v>
      </c>
      <c r="F34" s="29">
        <f t="shared" si="2"/>
        <v>0</v>
      </c>
      <c r="G34" s="29">
        <f t="shared" si="3"/>
        <v>34397253.660000056</v>
      </c>
      <c r="H34" t="str">
        <f t="shared" si="4"/>
        <v>Curva pareja: misma amortización mensual; interés baja conforme baja el saldo.</v>
      </c>
    </row>
    <row r="35" spans="1:8">
      <c r="A35">
        <v>25</v>
      </c>
      <c r="B35" s="29">
        <f t="shared" si="5"/>
        <v>34397253.660000056</v>
      </c>
      <c r="C35" s="29">
        <f t="shared" si="0"/>
        <v>286643.78050000046</v>
      </c>
      <c r="D35" s="29">
        <f t="shared" si="6"/>
        <v>955479.2683333332</v>
      </c>
      <c r="E35" s="29">
        <f t="shared" si="1"/>
        <v>1242123.0488333337</v>
      </c>
      <c r="F35" s="29">
        <f t="shared" si="2"/>
        <v>0</v>
      </c>
      <c r="G35" s="29">
        <f t="shared" si="3"/>
        <v>33441774.391666722</v>
      </c>
      <c r="H35" t="str">
        <f t="shared" si="4"/>
        <v>Curva pareja: misma amortización mensual; interés baja conforme baja el saldo.</v>
      </c>
    </row>
    <row r="36" spans="1:8">
      <c r="A36">
        <v>26</v>
      </c>
      <c r="B36" s="29">
        <f t="shared" si="5"/>
        <v>33441774.391666722</v>
      </c>
      <c r="C36" s="29">
        <f t="shared" si="0"/>
        <v>278681.45326388936</v>
      </c>
      <c r="D36" s="29">
        <f t="shared" si="6"/>
        <v>955479.2683333332</v>
      </c>
      <c r="E36" s="29">
        <f t="shared" si="1"/>
        <v>1234160.7215972226</v>
      </c>
      <c r="F36" s="29">
        <f t="shared" si="2"/>
        <v>0</v>
      </c>
      <c r="G36" s="29">
        <f t="shared" si="3"/>
        <v>32486295.123333387</v>
      </c>
      <c r="H36" t="str">
        <f t="shared" si="4"/>
        <v>Curva pareja: misma amortización mensual; interés baja conforme baja el saldo.</v>
      </c>
    </row>
    <row r="37" spans="1:8">
      <c r="A37">
        <v>27</v>
      </c>
      <c r="B37" s="29">
        <f t="shared" si="5"/>
        <v>32486295.123333387</v>
      </c>
      <c r="C37" s="29">
        <f t="shared" si="0"/>
        <v>270719.1260277782</v>
      </c>
      <c r="D37" s="29">
        <f t="shared" si="6"/>
        <v>955479.2683333332</v>
      </c>
      <c r="E37" s="29">
        <f t="shared" si="1"/>
        <v>1226198.3943611113</v>
      </c>
      <c r="F37" s="29">
        <f t="shared" si="2"/>
        <v>0</v>
      </c>
      <c r="G37" s="29">
        <f t="shared" si="3"/>
        <v>31530815.855000053</v>
      </c>
      <c r="H37" t="str">
        <f t="shared" si="4"/>
        <v>Curva pareja: misma amortización mensual; interés baja conforme baja el saldo.</v>
      </c>
    </row>
    <row r="38" spans="1:8">
      <c r="A38">
        <v>28</v>
      </c>
      <c r="B38" s="29">
        <f t="shared" si="5"/>
        <v>31530815.855000053</v>
      </c>
      <c r="C38" s="29">
        <f t="shared" si="0"/>
        <v>262756.7987916671</v>
      </c>
      <c r="D38" s="29">
        <f t="shared" si="6"/>
        <v>955479.2683333332</v>
      </c>
      <c r="E38" s="29">
        <f t="shared" si="1"/>
        <v>1218236.0671250003</v>
      </c>
      <c r="F38" s="29">
        <f t="shared" si="2"/>
        <v>0</v>
      </c>
      <c r="G38" s="29">
        <f t="shared" si="3"/>
        <v>30575336.586666718</v>
      </c>
      <c r="H38" t="str">
        <f t="shared" si="4"/>
        <v>Curva pareja: misma amortización mensual; interés baja conforme baja el saldo.</v>
      </c>
    </row>
    <row r="39" spans="1:8">
      <c r="A39">
        <v>29</v>
      </c>
      <c r="B39" s="29">
        <f t="shared" si="5"/>
        <v>30575336.586666718</v>
      </c>
      <c r="C39" s="29">
        <f t="shared" si="0"/>
        <v>254794.47155555597</v>
      </c>
      <c r="D39" s="29">
        <f t="shared" si="6"/>
        <v>955479.2683333332</v>
      </c>
      <c r="E39" s="29">
        <f t="shared" si="1"/>
        <v>1210273.7398888892</v>
      </c>
      <c r="F39" s="29">
        <f t="shared" si="2"/>
        <v>0</v>
      </c>
      <c r="G39" s="29">
        <f t="shared" si="3"/>
        <v>29619857.318333384</v>
      </c>
      <c r="H39" t="str">
        <f t="shared" si="4"/>
        <v>Curva pareja: misma amortización mensual; interés baja conforme baja el saldo.</v>
      </c>
    </row>
    <row r="40" spans="1:8">
      <c r="A40">
        <v>30</v>
      </c>
      <c r="B40" s="29">
        <f t="shared" si="5"/>
        <v>29619857.318333384</v>
      </c>
      <c r="C40" s="29">
        <f t="shared" si="0"/>
        <v>246832.14431944487</v>
      </c>
      <c r="D40" s="29">
        <f t="shared" si="6"/>
        <v>955479.2683333332</v>
      </c>
      <c r="E40" s="29">
        <f t="shared" si="1"/>
        <v>1202311.412652778</v>
      </c>
      <c r="F40" s="29">
        <f t="shared" si="2"/>
        <v>0</v>
      </c>
      <c r="G40" s="29">
        <f t="shared" si="3"/>
        <v>28664378.050000049</v>
      </c>
      <c r="H40" t="str">
        <f t="shared" si="4"/>
        <v>Curva pareja: misma amortización mensual; interés baja conforme baja el saldo.</v>
      </c>
    </row>
    <row r="41" spans="1:8">
      <c r="A41">
        <v>31</v>
      </c>
      <c r="B41" s="29">
        <f t="shared" si="5"/>
        <v>28664378.050000049</v>
      </c>
      <c r="C41" s="29">
        <f t="shared" si="0"/>
        <v>238869.81708333374</v>
      </c>
      <c r="D41" s="29">
        <f t="shared" si="6"/>
        <v>955479.2683333332</v>
      </c>
      <c r="E41" s="29">
        <f t="shared" si="1"/>
        <v>1194349.0854166669</v>
      </c>
      <c r="F41" s="29">
        <f t="shared" si="2"/>
        <v>0</v>
      </c>
      <c r="G41" s="29">
        <f t="shared" si="3"/>
        <v>27708898.781666715</v>
      </c>
      <c r="H41" t="str">
        <f t="shared" si="4"/>
        <v>Curva pareja: misma amortización mensual; interés baja conforme baja el saldo.</v>
      </c>
    </row>
    <row r="42" spans="1:8">
      <c r="A42">
        <v>32</v>
      </c>
      <c r="B42" s="29">
        <f t="shared" si="5"/>
        <v>27708898.781666715</v>
      </c>
      <c r="C42" s="29">
        <f t="shared" si="0"/>
        <v>230907.48984722261</v>
      </c>
      <c r="D42" s="29">
        <f t="shared" si="6"/>
        <v>955479.2683333332</v>
      </c>
      <c r="E42" s="29">
        <f t="shared" si="1"/>
        <v>1186386.7581805559</v>
      </c>
      <c r="F42" s="29">
        <f t="shared" si="2"/>
        <v>0</v>
      </c>
      <c r="G42" s="29">
        <f t="shared" si="3"/>
        <v>26753419.51333338</v>
      </c>
      <c r="H42" t="str">
        <f t="shared" si="4"/>
        <v>Curva pareja: misma amortización mensual; interés baja conforme baja el saldo.</v>
      </c>
    </row>
    <row r="43" spans="1:8">
      <c r="A43">
        <v>33</v>
      </c>
      <c r="B43" s="29">
        <f t="shared" ref="B43:B70" si="7">IF(A43=1,$B$3,G42)</f>
        <v>26753419.51333338</v>
      </c>
      <c r="C43" s="29">
        <f t="shared" ref="C43:C70" si="8">B43*$B$6</f>
        <v>222945.1626111115</v>
      </c>
      <c r="D43" s="29">
        <f t="shared" ref="D43:D70" si="9">$B$7</f>
        <v>955479.2683333332</v>
      </c>
      <c r="E43" s="29">
        <f t="shared" ref="E43:E70" si="10">C43+D43</f>
        <v>1178424.4309444446</v>
      </c>
      <c r="F43" s="29">
        <f t="shared" ref="F43:F70" si="11">IF(A43&lt;=6,E43,0)</f>
        <v>0</v>
      </c>
      <c r="G43" s="29">
        <f t="shared" ref="G43:G70" si="12">B43-D43</f>
        <v>25797940.245000046</v>
      </c>
      <c r="H43" t="str">
        <f t="shared" ref="H43:H70" si="13">"Curva pareja: misma amortización mensual; interés baja conforme baja el saldo."</f>
        <v>Curva pareja: misma amortización mensual; interés baja conforme baja el saldo.</v>
      </c>
    </row>
    <row r="44" spans="1:8">
      <c r="A44">
        <v>34</v>
      </c>
      <c r="B44" s="29">
        <f t="shared" si="7"/>
        <v>25797940.245000046</v>
      </c>
      <c r="C44" s="29">
        <f t="shared" si="8"/>
        <v>214982.83537500037</v>
      </c>
      <c r="D44" s="29">
        <f t="shared" si="9"/>
        <v>955479.2683333332</v>
      </c>
      <c r="E44" s="29">
        <f t="shared" si="10"/>
        <v>1170462.1037083336</v>
      </c>
      <c r="F44" s="29">
        <f t="shared" si="11"/>
        <v>0</v>
      </c>
      <c r="G44" s="29">
        <f t="shared" si="12"/>
        <v>24842460.976666711</v>
      </c>
      <c r="H44" t="str">
        <f t="shared" si="13"/>
        <v>Curva pareja: misma amortización mensual; interés baja conforme baja el saldo.</v>
      </c>
    </row>
    <row r="45" spans="1:8">
      <c r="A45">
        <v>35</v>
      </c>
      <c r="B45" s="29">
        <f t="shared" si="7"/>
        <v>24842460.976666711</v>
      </c>
      <c r="C45" s="29">
        <f t="shared" si="8"/>
        <v>207020.50813888927</v>
      </c>
      <c r="D45" s="29">
        <f t="shared" si="9"/>
        <v>955479.2683333332</v>
      </c>
      <c r="E45" s="29">
        <f t="shared" si="10"/>
        <v>1162499.7764722225</v>
      </c>
      <c r="F45" s="29">
        <f t="shared" si="11"/>
        <v>0</v>
      </c>
      <c r="G45" s="29">
        <f t="shared" si="12"/>
        <v>23886981.708333377</v>
      </c>
      <c r="H45" t="str">
        <f t="shared" si="13"/>
        <v>Curva pareja: misma amortización mensual; interés baja conforme baja el saldo.</v>
      </c>
    </row>
    <row r="46" spans="1:8">
      <c r="A46">
        <v>36</v>
      </c>
      <c r="B46" s="29">
        <f t="shared" si="7"/>
        <v>23886981.708333377</v>
      </c>
      <c r="C46" s="29">
        <f t="shared" si="8"/>
        <v>199058.18090277814</v>
      </c>
      <c r="D46" s="29">
        <f t="shared" si="9"/>
        <v>955479.2683333332</v>
      </c>
      <c r="E46" s="29">
        <f t="shared" si="10"/>
        <v>1154537.4492361112</v>
      </c>
      <c r="F46" s="29">
        <f t="shared" si="11"/>
        <v>0</v>
      </c>
      <c r="G46" s="29">
        <f t="shared" si="12"/>
        <v>22931502.440000042</v>
      </c>
      <c r="H46" t="str">
        <f t="shared" si="13"/>
        <v>Curva pareja: misma amortización mensual; interés baja conforme baja el saldo.</v>
      </c>
    </row>
    <row r="47" spans="1:8">
      <c r="A47">
        <v>37</v>
      </c>
      <c r="B47" s="29">
        <f t="shared" si="7"/>
        <v>22931502.440000042</v>
      </c>
      <c r="C47" s="29">
        <f t="shared" si="8"/>
        <v>191095.85366666701</v>
      </c>
      <c r="D47" s="29">
        <f t="shared" si="9"/>
        <v>955479.2683333332</v>
      </c>
      <c r="E47" s="29">
        <f t="shared" si="10"/>
        <v>1146575.1220000002</v>
      </c>
      <c r="F47" s="29">
        <f t="shared" si="11"/>
        <v>0</v>
      </c>
      <c r="G47" s="29">
        <f t="shared" si="12"/>
        <v>21976023.171666708</v>
      </c>
      <c r="H47" t="str">
        <f t="shared" si="13"/>
        <v>Curva pareja: misma amortización mensual; interés baja conforme baja el saldo.</v>
      </c>
    </row>
    <row r="48" spans="1:8">
      <c r="A48">
        <v>38</v>
      </c>
      <c r="B48" s="29">
        <f t="shared" si="7"/>
        <v>21976023.171666708</v>
      </c>
      <c r="C48" s="29">
        <f t="shared" si="8"/>
        <v>183133.52643055591</v>
      </c>
      <c r="D48" s="29">
        <f t="shared" si="9"/>
        <v>955479.2683333332</v>
      </c>
      <c r="E48" s="29">
        <f t="shared" si="10"/>
        <v>1138612.7947638892</v>
      </c>
      <c r="F48" s="29">
        <f t="shared" si="11"/>
        <v>0</v>
      </c>
      <c r="G48" s="29">
        <f t="shared" si="12"/>
        <v>21020543.903333373</v>
      </c>
      <c r="H48" t="str">
        <f t="shared" si="13"/>
        <v>Curva pareja: misma amortización mensual; interés baja conforme baja el saldo.</v>
      </c>
    </row>
    <row r="49" spans="1:8">
      <c r="A49">
        <v>39</v>
      </c>
      <c r="B49" s="29">
        <f t="shared" si="7"/>
        <v>21020543.903333373</v>
      </c>
      <c r="C49" s="29">
        <f t="shared" si="8"/>
        <v>175171.19919444478</v>
      </c>
      <c r="D49" s="29">
        <f t="shared" si="9"/>
        <v>955479.2683333332</v>
      </c>
      <c r="E49" s="29">
        <f t="shared" si="10"/>
        <v>1130650.4675277779</v>
      </c>
      <c r="F49" s="29">
        <f t="shared" si="11"/>
        <v>0</v>
      </c>
      <c r="G49" s="29">
        <f t="shared" si="12"/>
        <v>20065064.635000039</v>
      </c>
      <c r="H49" t="str">
        <f t="shared" si="13"/>
        <v>Curva pareja: misma amortización mensual; interés baja conforme baja el saldo.</v>
      </c>
    </row>
    <row r="50" spans="1:8">
      <c r="A50">
        <v>40</v>
      </c>
      <c r="B50" s="29">
        <f t="shared" si="7"/>
        <v>20065064.635000039</v>
      </c>
      <c r="C50" s="29">
        <f t="shared" si="8"/>
        <v>167208.87195833365</v>
      </c>
      <c r="D50" s="29">
        <f t="shared" si="9"/>
        <v>955479.2683333332</v>
      </c>
      <c r="E50" s="29">
        <f t="shared" si="10"/>
        <v>1122688.1402916668</v>
      </c>
      <c r="F50" s="29">
        <f t="shared" si="11"/>
        <v>0</v>
      </c>
      <c r="G50" s="29">
        <f t="shared" si="12"/>
        <v>19109585.366666704</v>
      </c>
      <c r="H50" t="str">
        <f t="shared" si="13"/>
        <v>Curva pareja: misma amortización mensual; interés baja conforme baja el saldo.</v>
      </c>
    </row>
    <row r="51" spans="1:8">
      <c r="A51">
        <v>41</v>
      </c>
      <c r="B51" s="29">
        <f t="shared" si="7"/>
        <v>19109585.366666704</v>
      </c>
      <c r="C51" s="29">
        <f t="shared" si="8"/>
        <v>159246.54472222255</v>
      </c>
      <c r="D51" s="29">
        <f t="shared" si="9"/>
        <v>955479.2683333332</v>
      </c>
      <c r="E51" s="29">
        <f t="shared" si="10"/>
        <v>1114725.8130555558</v>
      </c>
      <c r="F51" s="29">
        <f t="shared" si="11"/>
        <v>0</v>
      </c>
      <c r="G51" s="29">
        <f t="shared" si="12"/>
        <v>18154106.09833337</v>
      </c>
      <c r="H51" t="str">
        <f t="shared" si="13"/>
        <v>Curva pareja: misma amortización mensual; interés baja conforme baja el saldo.</v>
      </c>
    </row>
    <row r="52" spans="1:8">
      <c r="A52">
        <v>42</v>
      </c>
      <c r="B52" s="29">
        <f t="shared" si="7"/>
        <v>18154106.09833337</v>
      </c>
      <c r="C52" s="29">
        <f t="shared" si="8"/>
        <v>151284.21748611142</v>
      </c>
      <c r="D52" s="29">
        <f t="shared" si="9"/>
        <v>955479.2683333332</v>
      </c>
      <c r="E52" s="29">
        <f t="shared" si="10"/>
        <v>1106763.4858194445</v>
      </c>
      <c r="F52" s="29">
        <f t="shared" si="11"/>
        <v>0</v>
      </c>
      <c r="G52" s="29">
        <f t="shared" si="12"/>
        <v>17198626.830000035</v>
      </c>
      <c r="H52" t="str">
        <f t="shared" si="13"/>
        <v>Curva pareja: misma amortización mensual; interés baja conforme baja el saldo.</v>
      </c>
    </row>
    <row r="53" spans="1:8">
      <c r="A53">
        <v>43</v>
      </c>
      <c r="B53" s="29">
        <f t="shared" si="7"/>
        <v>17198626.830000035</v>
      </c>
      <c r="C53" s="29">
        <f t="shared" si="8"/>
        <v>143321.89025000029</v>
      </c>
      <c r="D53" s="29">
        <f t="shared" si="9"/>
        <v>955479.2683333332</v>
      </c>
      <c r="E53" s="29">
        <f t="shared" si="10"/>
        <v>1098801.1585833335</v>
      </c>
      <c r="F53" s="29">
        <f t="shared" si="11"/>
        <v>0</v>
      </c>
      <c r="G53" s="29">
        <f t="shared" si="12"/>
        <v>16243147.561666703</v>
      </c>
      <c r="H53" t="str">
        <f t="shared" si="13"/>
        <v>Curva pareja: misma amortización mensual; interés baja conforme baja el saldo.</v>
      </c>
    </row>
    <row r="54" spans="1:8">
      <c r="A54">
        <v>44</v>
      </c>
      <c r="B54" s="29">
        <f t="shared" si="7"/>
        <v>16243147.561666703</v>
      </c>
      <c r="C54" s="29">
        <f t="shared" si="8"/>
        <v>135359.56301388919</v>
      </c>
      <c r="D54" s="29">
        <f t="shared" si="9"/>
        <v>955479.2683333332</v>
      </c>
      <c r="E54" s="29">
        <f t="shared" si="10"/>
        <v>1090838.8313472224</v>
      </c>
      <c r="F54" s="29">
        <f t="shared" si="11"/>
        <v>0</v>
      </c>
      <c r="G54" s="29">
        <f t="shared" si="12"/>
        <v>15287668.29333337</v>
      </c>
      <c r="H54" t="str">
        <f t="shared" si="13"/>
        <v>Curva pareja: misma amortización mensual; interés baja conforme baja el saldo.</v>
      </c>
    </row>
    <row r="55" spans="1:8">
      <c r="A55">
        <v>45</v>
      </c>
      <c r="B55" s="29">
        <f t="shared" si="7"/>
        <v>15287668.29333337</v>
      </c>
      <c r="C55" s="29">
        <f t="shared" si="8"/>
        <v>127397.23577777809</v>
      </c>
      <c r="D55" s="29">
        <f t="shared" si="9"/>
        <v>955479.2683333332</v>
      </c>
      <c r="E55" s="29">
        <f t="shared" si="10"/>
        <v>1082876.5041111112</v>
      </c>
      <c r="F55" s="29">
        <f t="shared" si="11"/>
        <v>0</v>
      </c>
      <c r="G55" s="29">
        <f t="shared" si="12"/>
        <v>14332189.025000038</v>
      </c>
      <c r="H55" t="str">
        <f t="shared" si="13"/>
        <v>Curva pareja: misma amortización mensual; interés baja conforme baja el saldo.</v>
      </c>
    </row>
    <row r="56" spans="1:8">
      <c r="A56">
        <v>46</v>
      </c>
      <c r="B56" s="29">
        <f t="shared" si="7"/>
        <v>14332189.025000038</v>
      </c>
      <c r="C56" s="29">
        <f t="shared" si="8"/>
        <v>119434.90854166698</v>
      </c>
      <c r="D56" s="29">
        <f t="shared" si="9"/>
        <v>955479.2683333332</v>
      </c>
      <c r="E56" s="29">
        <f t="shared" si="10"/>
        <v>1074914.1768750001</v>
      </c>
      <c r="F56" s="29">
        <f t="shared" si="11"/>
        <v>0</v>
      </c>
      <c r="G56" s="29">
        <f t="shared" si="12"/>
        <v>13376709.756666705</v>
      </c>
      <c r="H56" t="str">
        <f t="shared" si="13"/>
        <v>Curva pareja: misma amortización mensual; interés baja conforme baja el saldo.</v>
      </c>
    </row>
    <row r="57" spans="1:8">
      <c r="A57">
        <v>47</v>
      </c>
      <c r="B57" s="29">
        <f t="shared" si="7"/>
        <v>13376709.756666705</v>
      </c>
      <c r="C57" s="29">
        <f t="shared" si="8"/>
        <v>111472.58130555587</v>
      </c>
      <c r="D57" s="29">
        <f t="shared" si="9"/>
        <v>955479.2683333332</v>
      </c>
      <c r="E57" s="29">
        <f t="shared" si="10"/>
        <v>1066951.8496388891</v>
      </c>
      <c r="F57" s="29">
        <f t="shared" si="11"/>
        <v>0</v>
      </c>
      <c r="G57" s="29">
        <f t="shared" si="12"/>
        <v>12421230.488333372</v>
      </c>
      <c r="H57" t="str">
        <f t="shared" si="13"/>
        <v>Curva pareja: misma amortización mensual; interés baja conforme baja el saldo.</v>
      </c>
    </row>
    <row r="58" spans="1:8">
      <c r="A58">
        <v>48</v>
      </c>
      <c r="B58" s="29">
        <f t="shared" si="7"/>
        <v>12421230.488333372</v>
      </c>
      <c r="C58" s="29">
        <f t="shared" si="8"/>
        <v>103510.25406944477</v>
      </c>
      <c r="D58" s="29">
        <f t="shared" si="9"/>
        <v>955479.2683333332</v>
      </c>
      <c r="E58" s="29">
        <f t="shared" si="10"/>
        <v>1058989.522402778</v>
      </c>
      <c r="F58" s="29">
        <f t="shared" si="11"/>
        <v>0</v>
      </c>
      <c r="G58" s="29">
        <f t="shared" si="12"/>
        <v>11465751.22000004</v>
      </c>
      <c r="H58" t="str">
        <f t="shared" si="13"/>
        <v>Curva pareja: misma amortización mensual; interés baja conforme baja el saldo.</v>
      </c>
    </row>
    <row r="59" spans="1:8">
      <c r="A59">
        <v>49</v>
      </c>
      <c r="B59" s="29">
        <f t="shared" si="7"/>
        <v>11465751.22000004</v>
      </c>
      <c r="C59" s="29">
        <f t="shared" si="8"/>
        <v>95547.926833333666</v>
      </c>
      <c r="D59" s="29">
        <f t="shared" si="9"/>
        <v>955479.2683333332</v>
      </c>
      <c r="E59" s="29">
        <f t="shared" si="10"/>
        <v>1051027.1951666668</v>
      </c>
      <c r="F59" s="29">
        <f t="shared" si="11"/>
        <v>0</v>
      </c>
      <c r="G59" s="29">
        <f t="shared" si="12"/>
        <v>10510271.951666707</v>
      </c>
      <c r="H59" t="str">
        <f t="shared" si="13"/>
        <v>Curva pareja: misma amortización mensual; interés baja conforme baja el saldo.</v>
      </c>
    </row>
    <row r="60" spans="1:8">
      <c r="A60">
        <v>50</v>
      </c>
      <c r="B60" s="29">
        <f t="shared" si="7"/>
        <v>10510271.951666707</v>
      </c>
      <c r="C60" s="29">
        <f t="shared" si="8"/>
        <v>87585.599597222565</v>
      </c>
      <c r="D60" s="29">
        <f t="shared" si="9"/>
        <v>955479.2683333332</v>
      </c>
      <c r="E60" s="29">
        <f t="shared" si="10"/>
        <v>1043064.8679305557</v>
      </c>
      <c r="F60" s="29">
        <f t="shared" si="11"/>
        <v>0</v>
      </c>
      <c r="G60" s="29">
        <f t="shared" si="12"/>
        <v>9554792.6833333746</v>
      </c>
      <c r="H60" t="str">
        <f t="shared" si="13"/>
        <v>Curva pareja: misma amortización mensual; interés baja conforme baja el saldo.</v>
      </c>
    </row>
    <row r="61" spans="1:8">
      <c r="A61">
        <v>51</v>
      </c>
      <c r="B61" s="29">
        <f t="shared" si="7"/>
        <v>9554792.6833333746</v>
      </c>
      <c r="C61" s="29">
        <f t="shared" si="8"/>
        <v>79623.272361111449</v>
      </c>
      <c r="D61" s="29">
        <f t="shared" si="9"/>
        <v>955479.2683333332</v>
      </c>
      <c r="E61" s="29">
        <f t="shared" si="10"/>
        <v>1035102.5406944447</v>
      </c>
      <c r="F61" s="29">
        <f t="shared" si="11"/>
        <v>0</v>
      </c>
      <c r="G61" s="29">
        <f t="shared" si="12"/>
        <v>8599313.4150000419</v>
      </c>
      <c r="H61" t="str">
        <f t="shared" si="13"/>
        <v>Curva pareja: misma amortización mensual; interés baja conforme baja el saldo.</v>
      </c>
    </row>
    <row r="62" spans="1:8">
      <c r="A62">
        <v>52</v>
      </c>
      <c r="B62" s="29">
        <f t="shared" si="7"/>
        <v>8599313.4150000419</v>
      </c>
      <c r="C62" s="29">
        <f t="shared" si="8"/>
        <v>71660.945125000348</v>
      </c>
      <c r="D62" s="29">
        <f t="shared" si="9"/>
        <v>955479.2683333332</v>
      </c>
      <c r="E62" s="29">
        <f t="shared" si="10"/>
        <v>1027140.2134583335</v>
      </c>
      <c r="F62" s="29">
        <f t="shared" si="11"/>
        <v>0</v>
      </c>
      <c r="G62" s="29">
        <f t="shared" si="12"/>
        <v>7643834.1466667084</v>
      </c>
      <c r="H62" t="str">
        <f t="shared" si="13"/>
        <v>Curva pareja: misma amortización mensual; interés baja conforme baja el saldo.</v>
      </c>
    </row>
    <row r="63" spans="1:8">
      <c r="A63">
        <v>53</v>
      </c>
      <c r="B63" s="29">
        <f t="shared" si="7"/>
        <v>7643834.1466667084</v>
      </c>
      <c r="C63" s="29">
        <f t="shared" si="8"/>
        <v>63698.617888889239</v>
      </c>
      <c r="D63" s="29">
        <f t="shared" si="9"/>
        <v>955479.2683333332</v>
      </c>
      <c r="E63" s="29">
        <f t="shared" si="10"/>
        <v>1019177.8862222225</v>
      </c>
      <c r="F63" s="29">
        <f t="shared" si="11"/>
        <v>0</v>
      </c>
      <c r="G63" s="29">
        <f t="shared" si="12"/>
        <v>6688354.8783333749</v>
      </c>
      <c r="H63" t="str">
        <f t="shared" si="13"/>
        <v>Curva pareja: misma amortización mensual; interés baja conforme baja el saldo.</v>
      </c>
    </row>
    <row r="64" spans="1:8">
      <c r="A64">
        <v>54</v>
      </c>
      <c r="B64" s="29">
        <f t="shared" si="7"/>
        <v>6688354.8783333749</v>
      </c>
      <c r="C64" s="29">
        <f t="shared" si="8"/>
        <v>55736.290652778123</v>
      </c>
      <c r="D64" s="29">
        <f t="shared" si="9"/>
        <v>955479.2683333332</v>
      </c>
      <c r="E64" s="29">
        <f t="shared" si="10"/>
        <v>1011215.5589861113</v>
      </c>
      <c r="F64" s="29">
        <f t="shared" si="11"/>
        <v>0</v>
      </c>
      <c r="G64" s="29">
        <f t="shared" si="12"/>
        <v>5732875.6100000413</v>
      </c>
      <c r="H64" t="str">
        <f t="shared" si="13"/>
        <v>Curva pareja: misma amortización mensual; interés baja conforme baja el saldo.</v>
      </c>
    </row>
    <row r="65" spans="1:11">
      <c r="A65">
        <v>55</v>
      </c>
      <c r="B65" s="29">
        <f t="shared" si="7"/>
        <v>5732875.6100000413</v>
      </c>
      <c r="C65" s="29">
        <f t="shared" si="8"/>
        <v>47773.963416667008</v>
      </c>
      <c r="D65" s="29">
        <f t="shared" si="9"/>
        <v>955479.2683333332</v>
      </c>
      <c r="E65" s="29">
        <f t="shared" si="10"/>
        <v>1003253.2317500002</v>
      </c>
      <c r="F65" s="29">
        <f t="shared" si="11"/>
        <v>0</v>
      </c>
      <c r="G65" s="29">
        <f t="shared" si="12"/>
        <v>4777396.3416667078</v>
      </c>
      <c r="H65" t="str">
        <f t="shared" si="13"/>
        <v>Curva pareja: misma amortización mensual; interés baja conforme baja el saldo.</v>
      </c>
    </row>
    <row r="66" spans="1:11">
      <c r="A66">
        <v>56</v>
      </c>
      <c r="B66" s="29">
        <f t="shared" si="7"/>
        <v>4777396.3416667078</v>
      </c>
      <c r="C66" s="29">
        <f t="shared" si="8"/>
        <v>39811.636180555899</v>
      </c>
      <c r="D66" s="29">
        <f t="shared" si="9"/>
        <v>955479.2683333332</v>
      </c>
      <c r="E66" s="29">
        <f t="shared" si="10"/>
        <v>995290.90451388911</v>
      </c>
      <c r="F66" s="29">
        <f t="shared" si="11"/>
        <v>0</v>
      </c>
      <c r="G66" s="29">
        <f t="shared" si="12"/>
        <v>3821917.0733333747</v>
      </c>
      <c r="H66" t="str">
        <f t="shared" si="13"/>
        <v>Curva pareja: misma amortización mensual; interés baja conforme baja el saldo.</v>
      </c>
      <c r="K66">
        <f>IF(A11=1,$B$3,G10)</f>
        <v>57328756.099999994</v>
      </c>
    </row>
    <row r="67" spans="1:11">
      <c r="A67">
        <v>57</v>
      </c>
      <c r="B67" s="29">
        <f t="shared" si="7"/>
        <v>3821917.0733333747</v>
      </c>
      <c r="C67" s="29">
        <f t="shared" si="8"/>
        <v>31849.308944444787</v>
      </c>
      <c r="D67" s="29">
        <f t="shared" si="9"/>
        <v>955479.2683333332</v>
      </c>
      <c r="E67" s="29">
        <f t="shared" si="10"/>
        <v>987328.57727777795</v>
      </c>
      <c r="F67" s="29">
        <f t="shared" si="11"/>
        <v>0</v>
      </c>
      <c r="G67" s="29">
        <f t="shared" si="12"/>
        <v>2866437.8050000416</v>
      </c>
      <c r="H67" t="str">
        <f t="shared" si="13"/>
        <v>Curva pareja: misma amortización mensual; interés baja conforme baja el saldo.</v>
      </c>
    </row>
    <row r="68" spans="1:11">
      <c r="A68">
        <v>58</v>
      </c>
      <c r="B68" s="29">
        <f t="shared" si="7"/>
        <v>2866437.8050000416</v>
      </c>
      <c r="C68" s="29">
        <f t="shared" si="8"/>
        <v>23886.981708333678</v>
      </c>
      <c r="D68" s="29">
        <f t="shared" si="9"/>
        <v>955479.2683333332</v>
      </c>
      <c r="E68" s="29">
        <f t="shared" si="10"/>
        <v>979366.25004166691</v>
      </c>
      <c r="F68" s="29">
        <f t="shared" si="11"/>
        <v>0</v>
      </c>
      <c r="G68" s="29">
        <f t="shared" si="12"/>
        <v>1910958.5366667085</v>
      </c>
      <c r="H68" t="str">
        <f t="shared" si="13"/>
        <v>Curva pareja: misma amortización mensual; interés baja conforme baja el saldo.</v>
      </c>
    </row>
    <row r="69" spans="1:11">
      <c r="A69">
        <v>59</v>
      </c>
      <c r="B69" s="29">
        <f t="shared" si="7"/>
        <v>1910958.5366667085</v>
      </c>
      <c r="C69" s="29">
        <f t="shared" si="8"/>
        <v>15924.654472222572</v>
      </c>
      <c r="D69" s="29">
        <f t="shared" si="9"/>
        <v>955479.2683333332</v>
      </c>
      <c r="E69" s="29">
        <f t="shared" si="10"/>
        <v>971403.92280555575</v>
      </c>
      <c r="F69" s="29">
        <f t="shared" si="11"/>
        <v>0</v>
      </c>
      <c r="G69" s="29">
        <f t="shared" si="12"/>
        <v>955479.26833337534</v>
      </c>
      <c r="H69" t="str">
        <f t="shared" si="13"/>
        <v>Curva pareja: misma amortización mensual; interés baja conforme baja el saldo.</v>
      </c>
    </row>
    <row r="70" spans="1:11">
      <c r="A70">
        <v>60</v>
      </c>
      <c r="B70" s="29">
        <f t="shared" si="7"/>
        <v>955479.26833337534</v>
      </c>
      <c r="C70" s="29">
        <f t="shared" si="8"/>
        <v>7962.3272361114614</v>
      </c>
      <c r="D70" s="29">
        <f t="shared" si="9"/>
        <v>955479.2683333332</v>
      </c>
      <c r="E70" s="29">
        <f t="shared" si="10"/>
        <v>963441.5955694447</v>
      </c>
      <c r="F70" s="29">
        <f t="shared" si="11"/>
        <v>0</v>
      </c>
      <c r="G70" s="29">
        <f t="shared" si="12"/>
        <v>4.2142346501350403E-8</v>
      </c>
      <c r="H70" t="str">
        <f t="shared" si="13"/>
        <v>Curva pareja: misma amortización mensual; interés baja conforme baja el saldo.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77"/>
  <sheetViews>
    <sheetView workbookViewId="0">
      <selection activeCell="L50" sqref="L50"/>
    </sheetView>
  </sheetViews>
  <sheetFormatPr baseColWidth="10" defaultColWidth="8.83203125" defaultRowHeight="14"/>
  <cols>
    <col min="1" max="1" width="22" customWidth="1"/>
    <col min="2" max="2" width="17" customWidth="1"/>
    <col min="3" max="3" width="14" customWidth="1"/>
    <col min="4" max="4" width="35" customWidth="1"/>
    <col min="5" max="5" width="18" customWidth="1"/>
    <col min="6" max="6" width="24" customWidth="1"/>
    <col min="7" max="7" width="18" customWidth="1"/>
    <col min="8" max="8" width="28" customWidth="1"/>
    <col min="9" max="9" width="8" customWidth="1"/>
    <col min="10" max="10" width="14" customWidth="1"/>
    <col min="11" max="11" width="28" customWidth="1"/>
    <col min="12" max="14" width="16" customWidth="1"/>
    <col min="15" max="16" width="18" customWidth="1"/>
    <col min="17" max="17" width="16" customWidth="1"/>
    <col min="18" max="18" width="24" customWidth="1"/>
    <col min="20" max="20" width="8" customWidth="1"/>
    <col min="21" max="23" width="16" customWidth="1"/>
  </cols>
  <sheetData>
    <row r="1" spans="1:18" ht="37.25" customHeight="1">
      <c r="A1" s="106" t="s">
        <v>121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</row>
    <row r="2" spans="1:18" ht="42.75" customHeight="1">
      <c r="A2" s="107" t="s">
        <v>122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</row>
    <row r="4" spans="1:18" ht="29.25" customHeight="1">
      <c r="A4" s="108" t="s">
        <v>123</v>
      </c>
      <c r="B4" s="108"/>
      <c r="C4" s="108"/>
      <c r="D4" s="108"/>
      <c r="F4" s="109" t="s">
        <v>124</v>
      </c>
      <c r="G4" s="109"/>
      <c r="H4" s="109"/>
      <c r="J4" s="108" t="s">
        <v>125</v>
      </c>
      <c r="K4" s="108"/>
      <c r="L4" s="108"/>
      <c r="M4" s="108"/>
      <c r="N4" s="108"/>
      <c r="O4" s="108"/>
      <c r="P4" s="108"/>
      <c r="Q4" s="108"/>
      <c r="R4" s="108"/>
    </row>
    <row r="5" spans="1:18" ht="32" customHeight="1">
      <c r="A5" s="48" t="s">
        <v>126</v>
      </c>
      <c r="B5" s="53">
        <f>Control!$B$8</f>
        <v>81898223</v>
      </c>
      <c r="C5" s="34" t="s">
        <v>40</v>
      </c>
      <c r="D5" s="34" t="s">
        <v>127</v>
      </c>
      <c r="F5" s="48" t="s">
        <v>128</v>
      </c>
      <c r="G5" s="33">
        <f>SUM(E40:E69)</f>
        <v>127965973.43750004</v>
      </c>
      <c r="H5" s="34" t="s">
        <v>129</v>
      </c>
      <c r="J5" s="67" t="s">
        <v>130</v>
      </c>
      <c r="K5" s="110" t="s">
        <v>131</v>
      </c>
      <c r="L5" s="110"/>
      <c r="M5" s="110"/>
      <c r="N5" s="110"/>
      <c r="O5" s="110"/>
      <c r="P5" s="110"/>
      <c r="Q5" s="110"/>
      <c r="R5" s="110"/>
    </row>
    <row r="6" spans="1:18" ht="32" customHeight="1">
      <c r="A6" s="48" t="s">
        <v>132</v>
      </c>
      <c r="B6" s="53">
        <f>B5*70%</f>
        <v>57328756.099999994</v>
      </c>
      <c r="C6" s="34" t="s">
        <v>40</v>
      </c>
      <c r="D6" s="34" t="s">
        <v>133</v>
      </c>
      <c r="F6" s="48" t="s">
        <v>134</v>
      </c>
      <c r="G6" s="33">
        <f>SUM(B40:B69)</f>
        <v>38</v>
      </c>
      <c r="H6" s="34" t="s">
        <v>135</v>
      </c>
      <c r="J6" s="67" t="s">
        <v>136</v>
      </c>
      <c r="K6" s="110" t="s">
        <v>137</v>
      </c>
      <c r="L6" s="110"/>
      <c r="M6" s="110"/>
      <c r="N6" s="110"/>
      <c r="O6" s="110"/>
      <c r="P6" s="110"/>
      <c r="Q6" s="110"/>
      <c r="R6" s="110"/>
    </row>
    <row r="7" spans="1:18" ht="32" customHeight="1">
      <c r="A7" s="48" t="s">
        <v>138</v>
      </c>
      <c r="B7" s="54">
        <f>B5*30%</f>
        <v>24569466.899999999</v>
      </c>
      <c r="C7" s="34" t="s">
        <v>40</v>
      </c>
      <c r="D7" s="34" t="s">
        <v>139</v>
      </c>
      <c r="F7" s="48" t="s">
        <v>140</v>
      </c>
      <c r="G7" s="33">
        <f>P69</f>
        <v>0</v>
      </c>
      <c r="H7" s="34" t="s">
        <v>141</v>
      </c>
      <c r="J7" s="67" t="s">
        <v>142</v>
      </c>
      <c r="K7" s="110" t="s">
        <v>143</v>
      </c>
      <c r="L7" s="110"/>
      <c r="M7" s="110"/>
      <c r="N7" s="110"/>
      <c r="O7" s="110"/>
      <c r="P7" s="110"/>
      <c r="Q7" s="110"/>
      <c r="R7" s="110"/>
    </row>
    <row r="8" spans="1:18" ht="32" customHeight="1">
      <c r="A8" s="48" t="s">
        <v>144</v>
      </c>
      <c r="B8" s="55">
        <f>Control!$B$9</f>
        <v>38</v>
      </c>
      <c r="C8" s="34" t="s">
        <v>145</v>
      </c>
      <c r="D8" s="34" t="s">
        <v>146</v>
      </c>
      <c r="F8" s="48" t="s">
        <v>147</v>
      </c>
      <c r="G8" s="33">
        <f>SUM(O40:O69)</f>
        <v>46101921.47330223</v>
      </c>
      <c r="H8" s="34" t="s">
        <v>148</v>
      </c>
      <c r="J8" s="67" t="s">
        <v>149</v>
      </c>
      <c r="K8" s="110" t="s">
        <v>150</v>
      </c>
      <c r="L8" s="110"/>
      <c r="M8" s="110"/>
      <c r="N8" s="110"/>
      <c r="O8" s="110"/>
      <c r="P8" s="110"/>
      <c r="Q8" s="110"/>
      <c r="R8" s="110"/>
    </row>
    <row r="9" spans="1:18" ht="32" customHeight="1">
      <c r="A9" s="48" t="s">
        <v>151</v>
      </c>
      <c r="B9" s="56">
        <v>1.5625</v>
      </c>
      <c r="C9" s="34" t="s">
        <v>152</v>
      </c>
      <c r="D9" s="34" t="s">
        <v>153</v>
      </c>
      <c r="F9" s="48" t="s">
        <v>154</v>
      </c>
      <c r="G9" s="33">
        <f>NPV($B$30,O40:O69)</f>
        <v>39844727.344715655</v>
      </c>
      <c r="H9" s="34" t="s">
        <v>155</v>
      </c>
      <c r="J9" s="67" t="s">
        <v>156</v>
      </c>
      <c r="K9" s="110" t="s">
        <v>157</v>
      </c>
      <c r="L9" s="110"/>
      <c r="M9" s="110"/>
      <c r="N9" s="110"/>
      <c r="O9" s="110"/>
      <c r="P9" s="110"/>
      <c r="Q9" s="110"/>
      <c r="R9" s="110"/>
    </row>
    <row r="10" spans="1:18" ht="32" customHeight="1">
      <c r="A10" s="48" t="s">
        <v>158</v>
      </c>
      <c r="B10" s="57">
        <f>B5*B9</f>
        <v>127965973.4375</v>
      </c>
      <c r="C10" s="34" t="s">
        <v>40</v>
      </c>
      <c r="D10" s="34" t="s">
        <v>159</v>
      </c>
      <c r="F10" s="48" t="s">
        <v>116</v>
      </c>
      <c r="G10" s="33">
        <f>G9-$B$7</f>
        <v>15275260.444715656</v>
      </c>
      <c r="H10" s="34" t="s">
        <v>160</v>
      </c>
      <c r="J10" s="34" t="s">
        <v>161</v>
      </c>
      <c r="K10" s="111" t="s">
        <v>162</v>
      </c>
      <c r="L10" s="111"/>
      <c r="M10" s="111"/>
      <c r="N10" s="111"/>
      <c r="O10" s="111"/>
      <c r="P10" s="111"/>
      <c r="Q10" s="111"/>
      <c r="R10" s="111"/>
    </row>
    <row r="11" spans="1:18" ht="32" customHeight="1">
      <c r="A11" s="48" t="s">
        <v>163</v>
      </c>
      <c r="B11" s="58">
        <f>B10/B8</f>
        <v>3367525.616776316</v>
      </c>
      <c r="C11" s="34" t="s">
        <v>164</v>
      </c>
      <c r="D11" s="34" t="s">
        <v>165</v>
      </c>
      <c r="F11" s="48" t="s">
        <v>166</v>
      </c>
      <c r="G11" s="51">
        <f>IFERROR(IRR(B77:AF77),0)</f>
        <v>4.1821862642662078E-2</v>
      </c>
      <c r="H11" s="34" t="s">
        <v>167</v>
      </c>
      <c r="J11" s="37"/>
      <c r="K11" s="37"/>
      <c r="L11" s="37"/>
      <c r="M11" s="37"/>
      <c r="N11" s="37"/>
      <c r="O11" s="37"/>
      <c r="P11" s="37"/>
      <c r="Q11" s="37"/>
      <c r="R11" s="37"/>
    </row>
    <row r="12" spans="1:18" ht="32" customHeight="1">
      <c r="A12" s="48" t="s">
        <v>168</v>
      </c>
      <c r="B12" s="59">
        <v>0.04</v>
      </c>
      <c r="C12" s="34" t="s">
        <v>169</v>
      </c>
      <c r="D12" s="34" t="s">
        <v>170</v>
      </c>
      <c r="F12" s="48" t="s">
        <v>117</v>
      </c>
      <c r="G12" s="51">
        <f>(1+G11)^12-1</f>
        <v>0.63501447695209223</v>
      </c>
      <c r="H12" s="34" t="s">
        <v>171</v>
      </c>
    </row>
    <row r="13" spans="1:18" ht="32" customHeight="1">
      <c r="A13" s="48" t="s">
        <v>172</v>
      </c>
      <c r="B13" s="58">
        <f>B11*B12</f>
        <v>134701.02467105264</v>
      </c>
      <c r="C13" s="34" t="s">
        <v>164</v>
      </c>
      <c r="D13" s="34" t="s">
        <v>173</v>
      </c>
      <c r="F13" s="48" t="s">
        <v>174</v>
      </c>
      <c r="G13" s="35" t="str">
        <f ca="1">IFERROR(_xludf.MINIFS(A40:A69,O40:O69,"&gt;0"),"No alcanza")</f>
        <v>No alcanza</v>
      </c>
      <c r="H13" s="34" t="s">
        <v>175</v>
      </c>
    </row>
    <row r="14" spans="1:18" ht="32" customHeight="1">
      <c r="A14" s="48" t="s">
        <v>176</v>
      </c>
      <c r="B14" s="59">
        <v>3.125E-2</v>
      </c>
      <c r="C14" s="34" t="s">
        <v>177</v>
      </c>
      <c r="D14" s="34" t="s">
        <v>178</v>
      </c>
      <c r="F14" s="48" t="s">
        <v>119</v>
      </c>
      <c r="G14" s="35" t="str">
        <f ca="1">IFERROR(_xludf.MINIFS(A40:A69,P40:P69,"&lt;=1"),"No se liquida")</f>
        <v>No se liquida</v>
      </c>
      <c r="H14" s="34" t="s">
        <v>179</v>
      </c>
    </row>
    <row r="15" spans="1:18" ht="32" customHeight="1">
      <c r="A15" s="48" t="s">
        <v>180</v>
      </c>
      <c r="B15" s="58">
        <f>B5*B14</f>
        <v>2559319.46875</v>
      </c>
      <c r="C15" s="34" t="s">
        <v>40</v>
      </c>
      <c r="D15" s="34" t="s">
        <v>181</v>
      </c>
      <c r="F15" s="48" t="s">
        <v>120</v>
      </c>
      <c r="G15" s="52" t="str">
        <f>IF(AND(G10&gt;0,G12&gt;$B$29),"VIABLE","NO VIABLE")</f>
        <v>VIABLE</v>
      </c>
      <c r="H15" s="34" t="s">
        <v>182</v>
      </c>
    </row>
    <row r="16" spans="1:18" ht="32" customHeight="1">
      <c r="A16" s="48" t="s">
        <v>183</v>
      </c>
      <c r="B16" s="60">
        <f>ROUNDUP(B8/B17,0)</f>
        <v>19</v>
      </c>
      <c r="C16" s="34" t="s">
        <v>184</v>
      </c>
      <c r="D16" s="34" t="s">
        <v>185</v>
      </c>
    </row>
    <row r="17" spans="1:18" ht="32" customHeight="1">
      <c r="A17" s="48" t="s">
        <v>186</v>
      </c>
      <c r="B17" s="61">
        <v>2</v>
      </c>
      <c r="C17" s="34" t="s">
        <v>187</v>
      </c>
      <c r="D17" s="34" t="s">
        <v>188</v>
      </c>
    </row>
    <row r="18" spans="1:18" ht="32" customHeight="1">
      <c r="A18" s="48" t="s">
        <v>189</v>
      </c>
      <c r="B18" s="57">
        <f>B15/B16</f>
        <v>134701.02467105264</v>
      </c>
      <c r="C18" s="34" t="s">
        <v>190</v>
      </c>
      <c r="D18" s="34" t="s">
        <v>191</v>
      </c>
    </row>
    <row r="19" spans="1:18" ht="32" customHeight="1">
      <c r="A19" s="48" t="s">
        <v>192</v>
      </c>
      <c r="B19" s="62">
        <v>0</v>
      </c>
      <c r="C19" s="34" t="s">
        <v>190</v>
      </c>
      <c r="D19" s="34" t="s">
        <v>193</v>
      </c>
    </row>
    <row r="20" spans="1:18" ht="32" customHeight="1">
      <c r="A20" s="48" t="s">
        <v>194</v>
      </c>
      <c r="B20" s="63">
        <f>B16</f>
        <v>19</v>
      </c>
      <c r="C20" s="34" t="s">
        <v>184</v>
      </c>
      <c r="D20" s="34" t="s">
        <v>195</v>
      </c>
    </row>
    <row r="21" spans="1:18" ht="32" customHeight="1">
      <c r="A21" s="48" t="s">
        <v>196</v>
      </c>
      <c r="B21" s="58">
        <f>B19*B20</f>
        <v>0</v>
      </c>
      <c r="C21" s="34" t="s">
        <v>40</v>
      </c>
      <c r="D21" s="34" t="s">
        <v>197</v>
      </c>
    </row>
    <row r="22" spans="1:18" ht="32" customHeight="1">
      <c r="A22" s="48" t="s">
        <v>198</v>
      </c>
      <c r="B22" s="57">
        <f>B13*B8+B15+B21</f>
        <v>7677958.40625</v>
      </c>
      <c r="C22" s="34" t="s">
        <v>40</v>
      </c>
      <c r="D22" s="34" t="s">
        <v>199</v>
      </c>
    </row>
    <row r="23" spans="1:18" ht="32" customHeight="1">
      <c r="A23" s="48" t="s">
        <v>200</v>
      </c>
      <c r="B23" s="64">
        <f>B10-(B5+B22)</f>
        <v>38389792.03125</v>
      </c>
      <c r="C23" s="34" t="s">
        <v>40</v>
      </c>
      <c r="D23" s="34" t="s">
        <v>201</v>
      </c>
    </row>
    <row r="24" spans="1:18" ht="32" customHeight="1">
      <c r="A24" s="48" t="s">
        <v>202</v>
      </c>
      <c r="B24" s="59">
        <v>0.3</v>
      </c>
      <c r="C24" s="34" t="s">
        <v>42</v>
      </c>
      <c r="D24" s="34" t="s">
        <v>203</v>
      </c>
    </row>
    <row r="25" spans="1:18" ht="32" customHeight="1">
      <c r="A25" s="48" t="s">
        <v>204</v>
      </c>
      <c r="B25" s="64">
        <f>MAX(B23*B24,0)</f>
        <v>11516937.609375</v>
      </c>
      <c r="C25" s="34" t="s">
        <v>40</v>
      </c>
      <c r="D25" s="34" t="s">
        <v>205</v>
      </c>
    </row>
    <row r="26" spans="1:18" ht="32" customHeight="1">
      <c r="A26" s="48" t="s">
        <v>206</v>
      </c>
      <c r="B26" s="58">
        <f>B25/B8</f>
        <v>303077.30550986843</v>
      </c>
      <c r="C26" s="34" t="s">
        <v>164</v>
      </c>
      <c r="D26" s="34" t="s">
        <v>207</v>
      </c>
    </row>
    <row r="27" spans="1:18" ht="32" customHeight="1">
      <c r="A27" s="48" t="s">
        <v>208</v>
      </c>
      <c r="B27" s="65">
        <f>Control!$B$22</f>
        <v>0.1825</v>
      </c>
      <c r="C27" s="34" t="s">
        <v>209</v>
      </c>
      <c r="D27" s="34" t="s">
        <v>210</v>
      </c>
    </row>
    <row r="28" spans="1:18" ht="32" customHeight="1">
      <c r="A28" s="48" t="s">
        <v>211</v>
      </c>
      <c r="B28" s="51">
        <f>B27/12</f>
        <v>1.5208333333333332E-2</v>
      </c>
      <c r="C28" s="34" t="s">
        <v>212</v>
      </c>
      <c r="D28" s="34" t="s">
        <v>213</v>
      </c>
    </row>
    <row r="29" spans="1:18" ht="32" customHeight="1">
      <c r="A29" s="48" t="s">
        <v>115</v>
      </c>
      <c r="B29" s="66">
        <v>0.12</v>
      </c>
      <c r="C29" s="34" t="s">
        <v>209</v>
      </c>
      <c r="D29" s="34" t="s">
        <v>214</v>
      </c>
    </row>
    <row r="30" spans="1:18" ht="32" customHeight="1">
      <c r="A30" s="48" t="s">
        <v>215</v>
      </c>
      <c r="B30" s="51">
        <f>(1+B29)^(1/12)-1</f>
        <v>9.4887929345830457E-3</v>
      </c>
      <c r="C30" s="34" t="s">
        <v>212</v>
      </c>
      <c r="D30" s="34" t="s">
        <v>216</v>
      </c>
    </row>
    <row r="31" spans="1:18" ht="32" customHeight="1">
      <c r="A31" s="96" t="s">
        <v>217</v>
      </c>
      <c r="B31" s="97">
        <f>Control!$B$23</f>
        <v>30</v>
      </c>
      <c r="C31" s="98" t="s">
        <v>184</v>
      </c>
      <c r="D31" s="98" t="s">
        <v>218</v>
      </c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</row>
    <row r="32" spans="1:18" ht="123.25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</row>
    <row r="33" spans="1:23" ht="20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</row>
    <row r="35" spans="1:23" ht="35.2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T35" s="31"/>
      <c r="U35" s="31"/>
      <c r="V35" s="31"/>
      <c r="W35" s="31"/>
    </row>
    <row r="36" spans="1:23" ht="29.25" customHeight="1">
      <c r="A36" s="112" t="s">
        <v>219</v>
      </c>
      <c r="B36" s="112"/>
      <c r="C36" s="112"/>
      <c r="D36" s="112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09"/>
      <c r="U36" s="32"/>
      <c r="V36" s="32"/>
      <c r="W36" s="32"/>
    </row>
    <row r="37" spans="1:23" ht="37.25" customHeight="1">
      <c r="A37" s="114" t="s">
        <v>220</v>
      </c>
      <c r="B37" s="115"/>
      <c r="C37" s="114"/>
      <c r="D37" s="114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7"/>
      <c r="U37" s="32"/>
      <c r="V37" s="32"/>
      <c r="W37" s="32"/>
    </row>
    <row r="38" spans="1:23" ht="20" customHeight="1">
      <c r="A38" s="38"/>
      <c r="B38" s="39"/>
      <c r="C38" s="38"/>
      <c r="D38" s="38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1"/>
      <c r="U38" s="32"/>
      <c r="V38" s="32"/>
      <c r="W38" s="32"/>
    </row>
    <row r="39" spans="1:23" ht="56" customHeight="1">
      <c r="A39" s="44" t="s">
        <v>106</v>
      </c>
      <c r="B39" s="44" t="s">
        <v>221</v>
      </c>
      <c r="C39" s="44" t="s">
        <v>222</v>
      </c>
      <c r="D39" s="44" t="s">
        <v>223</v>
      </c>
      <c r="E39" s="45" t="s">
        <v>224</v>
      </c>
      <c r="F39" s="45" t="s">
        <v>225</v>
      </c>
      <c r="G39" s="45" t="s">
        <v>226</v>
      </c>
      <c r="H39" s="45" t="s">
        <v>168</v>
      </c>
      <c r="I39" s="45" t="s">
        <v>227</v>
      </c>
      <c r="J39" s="45" t="s">
        <v>228</v>
      </c>
      <c r="K39" s="45" t="s">
        <v>229</v>
      </c>
      <c r="L39" s="45" t="s">
        <v>230</v>
      </c>
      <c r="M39" s="45" t="s">
        <v>231</v>
      </c>
      <c r="N39" s="45" t="s">
        <v>232</v>
      </c>
      <c r="O39" s="45" t="s">
        <v>233</v>
      </c>
      <c r="P39" s="45" t="s">
        <v>234</v>
      </c>
      <c r="Q39" s="45" t="s">
        <v>235</v>
      </c>
      <c r="R39" s="46" t="s">
        <v>113</v>
      </c>
      <c r="T39" s="43" t="s">
        <v>106</v>
      </c>
      <c r="U39" s="47" t="s">
        <v>236</v>
      </c>
      <c r="V39" s="47" t="s">
        <v>237</v>
      </c>
      <c r="W39" s="47" t="s">
        <v>234</v>
      </c>
    </row>
    <row r="40" spans="1:23" ht="26.75" customHeight="1">
      <c r="A40" s="85">
        <v>1</v>
      </c>
      <c r="B40" s="70">
        <v>2</v>
      </c>
      <c r="C40" s="71">
        <f>SUM($B$40:B40)</f>
        <v>2</v>
      </c>
      <c r="D40" s="71">
        <f t="shared" ref="D40:D69" si="0">MAX($B$8-C40,0)</f>
        <v>36</v>
      </c>
      <c r="E40" s="72">
        <f t="shared" ref="E40:E69" si="1">B40*$B$11</f>
        <v>6735051.2335526319</v>
      </c>
      <c r="F40" s="72">
        <f t="shared" ref="F40:F69" si="2">B40*$B$26</f>
        <v>606154.61101973685</v>
      </c>
      <c r="G40" s="72">
        <f t="shared" ref="G40:G69" si="3">IF(A40&lt;=$B$16,$B$18,0)</f>
        <v>134701.02467105264</v>
      </c>
      <c r="H40" s="72">
        <f t="shared" ref="H40:H69" si="4">B40*$B$13</f>
        <v>269402.04934210528</v>
      </c>
      <c r="I40" s="72">
        <f t="shared" ref="I40:I69" si="5">IF(A40&lt;=$B$20,$B$19,0)</f>
        <v>0</v>
      </c>
      <c r="J40" s="72">
        <f t="shared" ref="J40:J69" si="6">E40-F40-G40-H40-I40</f>
        <v>5724793.5485197371</v>
      </c>
      <c r="K40" s="72">
        <f t="shared" ref="K40:K69" si="7">IF(A40=1,$B$6,P39)</f>
        <v>57328756.099999994</v>
      </c>
      <c r="L40" s="72">
        <f t="shared" ref="L40:L69" si="8">K40*$B$28</f>
        <v>871874.83235416654</v>
      </c>
      <c r="M40" s="72">
        <f t="shared" ref="M40:M69" si="9">K40+L40</f>
        <v>58200630.93235416</v>
      </c>
      <c r="N40" s="72">
        <f t="shared" ref="N40:N69" si="10">MIN(MAX(J40,0),M40)</f>
        <v>5724793.5485197371</v>
      </c>
      <c r="O40" s="72">
        <f t="shared" ref="O40:O69" si="11">J40-N40</f>
        <v>0</v>
      </c>
      <c r="P40" s="72">
        <f t="shared" ref="P40:P69" si="12">M40-N40</f>
        <v>52475837.383834422</v>
      </c>
      <c r="Q40" s="72">
        <f t="shared" ref="Q40:Q69" si="13">MAX(-J40,0)</f>
        <v>0</v>
      </c>
      <c r="R40" s="41" t="str">
        <f t="shared" ref="R40:R69" si="14">IF(Q40&gt;0,"Sin caja: usar reserva/capital",IF(P40&gt;1,"Se sigue pagando banco","Flujo libre"))</f>
        <v>Se sigue pagando banco</v>
      </c>
      <c r="T40">
        <f t="shared" ref="T40:T69" si="15">A40</f>
        <v>1</v>
      </c>
      <c r="U40" s="32">
        <f t="shared" ref="U40:U69" si="16">E40</f>
        <v>6735051.2335526319</v>
      </c>
      <c r="V40" s="32">
        <f t="shared" ref="V40:V69" si="17">O40</f>
        <v>0</v>
      </c>
      <c r="W40" s="32">
        <f t="shared" ref="W40:W69" si="18">P40</f>
        <v>52475837.383834422</v>
      </c>
    </row>
    <row r="41" spans="1:23" ht="26.75" customHeight="1">
      <c r="A41" s="85">
        <v>2</v>
      </c>
      <c r="B41" s="70">
        <v>2</v>
      </c>
      <c r="C41" s="71">
        <f>SUM($B$40:B41)</f>
        <v>4</v>
      </c>
      <c r="D41" s="71">
        <f t="shared" si="0"/>
        <v>34</v>
      </c>
      <c r="E41" s="72">
        <f t="shared" si="1"/>
        <v>6735051.2335526319</v>
      </c>
      <c r="F41" s="72">
        <f t="shared" si="2"/>
        <v>606154.61101973685</v>
      </c>
      <c r="G41" s="72">
        <f t="shared" si="3"/>
        <v>134701.02467105264</v>
      </c>
      <c r="H41" s="72">
        <f t="shared" si="4"/>
        <v>269402.04934210528</v>
      </c>
      <c r="I41" s="72">
        <f t="shared" si="5"/>
        <v>0</v>
      </c>
      <c r="J41" s="72">
        <f t="shared" si="6"/>
        <v>5724793.5485197371</v>
      </c>
      <c r="K41" s="72">
        <f t="shared" si="7"/>
        <v>52475837.383834422</v>
      </c>
      <c r="L41" s="72">
        <f t="shared" si="8"/>
        <v>798070.02687914844</v>
      </c>
      <c r="M41" s="72">
        <f t="shared" si="9"/>
        <v>53273907.410713568</v>
      </c>
      <c r="N41" s="72">
        <f t="shared" si="10"/>
        <v>5724793.5485197371</v>
      </c>
      <c r="O41" s="72">
        <f t="shared" si="11"/>
        <v>0</v>
      </c>
      <c r="P41" s="72">
        <f t="shared" si="12"/>
        <v>47549113.86219383</v>
      </c>
      <c r="Q41" s="72">
        <f t="shared" si="13"/>
        <v>0</v>
      </c>
      <c r="R41" s="41" t="str">
        <f t="shared" si="14"/>
        <v>Se sigue pagando banco</v>
      </c>
      <c r="T41">
        <f t="shared" si="15"/>
        <v>2</v>
      </c>
      <c r="U41" s="32">
        <f t="shared" si="16"/>
        <v>6735051.2335526319</v>
      </c>
      <c r="V41" s="32">
        <f t="shared" si="17"/>
        <v>0</v>
      </c>
      <c r="W41" s="32">
        <f t="shared" si="18"/>
        <v>47549113.86219383</v>
      </c>
    </row>
    <row r="42" spans="1:23" ht="26.75" customHeight="1">
      <c r="A42" s="85">
        <v>3</v>
      </c>
      <c r="B42" s="70">
        <v>2</v>
      </c>
      <c r="C42" s="71">
        <f>SUM($B$40:B42)</f>
        <v>6</v>
      </c>
      <c r="D42" s="71">
        <f t="shared" si="0"/>
        <v>32</v>
      </c>
      <c r="E42" s="72">
        <f t="shared" si="1"/>
        <v>6735051.2335526319</v>
      </c>
      <c r="F42" s="72">
        <f t="shared" si="2"/>
        <v>606154.61101973685</v>
      </c>
      <c r="G42" s="72">
        <f t="shared" si="3"/>
        <v>134701.02467105264</v>
      </c>
      <c r="H42" s="72">
        <f t="shared" si="4"/>
        <v>269402.04934210528</v>
      </c>
      <c r="I42" s="72">
        <f t="shared" si="5"/>
        <v>0</v>
      </c>
      <c r="J42" s="72">
        <f t="shared" si="6"/>
        <v>5724793.5485197371</v>
      </c>
      <c r="K42" s="72">
        <f t="shared" si="7"/>
        <v>47549113.86219383</v>
      </c>
      <c r="L42" s="72">
        <f t="shared" si="8"/>
        <v>723142.77332086442</v>
      </c>
      <c r="M42" s="72">
        <f t="shared" si="9"/>
        <v>48272256.635514691</v>
      </c>
      <c r="N42" s="72">
        <f t="shared" si="10"/>
        <v>5724793.5485197371</v>
      </c>
      <c r="O42" s="72">
        <f t="shared" si="11"/>
        <v>0</v>
      </c>
      <c r="P42" s="72">
        <f t="shared" si="12"/>
        <v>42547463.086994953</v>
      </c>
      <c r="Q42" s="72">
        <f t="shared" si="13"/>
        <v>0</v>
      </c>
      <c r="R42" s="41" t="str">
        <f t="shared" si="14"/>
        <v>Se sigue pagando banco</v>
      </c>
      <c r="T42">
        <f t="shared" si="15"/>
        <v>3</v>
      </c>
      <c r="U42" s="32">
        <f t="shared" si="16"/>
        <v>6735051.2335526319</v>
      </c>
      <c r="V42" s="32">
        <f t="shared" si="17"/>
        <v>0</v>
      </c>
      <c r="W42" s="32">
        <f t="shared" si="18"/>
        <v>42547463.086994953</v>
      </c>
    </row>
    <row r="43" spans="1:23" ht="26.75" customHeight="1">
      <c r="A43" s="85">
        <v>4</v>
      </c>
      <c r="B43" s="70">
        <v>2</v>
      </c>
      <c r="C43" s="71">
        <f>SUM($B$40:B43)</f>
        <v>8</v>
      </c>
      <c r="D43" s="71">
        <f t="shared" si="0"/>
        <v>30</v>
      </c>
      <c r="E43" s="72">
        <f t="shared" si="1"/>
        <v>6735051.2335526319</v>
      </c>
      <c r="F43" s="72">
        <f t="shared" si="2"/>
        <v>606154.61101973685</v>
      </c>
      <c r="G43" s="72">
        <f t="shared" si="3"/>
        <v>134701.02467105264</v>
      </c>
      <c r="H43" s="72">
        <f t="shared" si="4"/>
        <v>269402.04934210528</v>
      </c>
      <c r="I43" s="72">
        <f t="shared" si="5"/>
        <v>0</v>
      </c>
      <c r="J43" s="72">
        <f t="shared" si="6"/>
        <v>5724793.5485197371</v>
      </c>
      <c r="K43" s="72">
        <f t="shared" si="7"/>
        <v>42547463.086994953</v>
      </c>
      <c r="L43" s="72">
        <f t="shared" si="8"/>
        <v>647076.00111471489</v>
      </c>
      <c r="M43" s="72">
        <f t="shared" si="9"/>
        <v>43194539.088109672</v>
      </c>
      <c r="N43" s="72">
        <f t="shared" si="10"/>
        <v>5724793.5485197371</v>
      </c>
      <c r="O43" s="72">
        <f t="shared" si="11"/>
        <v>0</v>
      </c>
      <c r="P43" s="72">
        <f t="shared" si="12"/>
        <v>37469745.539589934</v>
      </c>
      <c r="Q43" s="72">
        <f t="shared" si="13"/>
        <v>0</v>
      </c>
      <c r="R43" s="41" t="str">
        <f t="shared" si="14"/>
        <v>Se sigue pagando banco</v>
      </c>
      <c r="T43">
        <f t="shared" si="15"/>
        <v>4</v>
      </c>
      <c r="U43" s="32">
        <f t="shared" si="16"/>
        <v>6735051.2335526319</v>
      </c>
      <c r="V43" s="32">
        <f t="shared" si="17"/>
        <v>0</v>
      </c>
      <c r="W43" s="32">
        <f t="shared" si="18"/>
        <v>37469745.539589934</v>
      </c>
    </row>
    <row r="44" spans="1:23" ht="26.75" customHeight="1">
      <c r="A44" s="85">
        <v>5</v>
      </c>
      <c r="B44" s="70">
        <v>2</v>
      </c>
      <c r="C44" s="71">
        <f>SUM($B$40:B44)</f>
        <v>10</v>
      </c>
      <c r="D44" s="71">
        <f t="shared" si="0"/>
        <v>28</v>
      </c>
      <c r="E44" s="72">
        <f t="shared" si="1"/>
        <v>6735051.2335526319</v>
      </c>
      <c r="F44" s="72">
        <f t="shared" si="2"/>
        <v>606154.61101973685</v>
      </c>
      <c r="G44" s="72">
        <f t="shared" si="3"/>
        <v>134701.02467105264</v>
      </c>
      <c r="H44" s="72">
        <f t="shared" si="4"/>
        <v>269402.04934210528</v>
      </c>
      <c r="I44" s="72">
        <f t="shared" si="5"/>
        <v>0</v>
      </c>
      <c r="J44" s="72">
        <f t="shared" si="6"/>
        <v>5724793.5485197371</v>
      </c>
      <c r="K44" s="72">
        <f t="shared" si="7"/>
        <v>37469745.539589934</v>
      </c>
      <c r="L44" s="72">
        <f t="shared" si="8"/>
        <v>569852.38008126349</v>
      </c>
      <c r="M44" s="72">
        <f t="shared" si="9"/>
        <v>38039597.9196712</v>
      </c>
      <c r="N44" s="72">
        <f t="shared" si="10"/>
        <v>5724793.5485197371</v>
      </c>
      <c r="O44" s="72">
        <f t="shared" si="11"/>
        <v>0</v>
      </c>
      <c r="P44" s="72">
        <f t="shared" si="12"/>
        <v>32314804.371151462</v>
      </c>
      <c r="Q44" s="72">
        <f t="shared" si="13"/>
        <v>0</v>
      </c>
      <c r="R44" s="41" t="str">
        <f t="shared" si="14"/>
        <v>Se sigue pagando banco</v>
      </c>
      <c r="T44">
        <f t="shared" si="15"/>
        <v>5</v>
      </c>
      <c r="U44" s="32">
        <f t="shared" si="16"/>
        <v>6735051.2335526319</v>
      </c>
      <c r="V44" s="32">
        <f t="shared" si="17"/>
        <v>0</v>
      </c>
      <c r="W44" s="32">
        <f t="shared" si="18"/>
        <v>32314804.371151462</v>
      </c>
    </row>
    <row r="45" spans="1:23" ht="26.75" customHeight="1">
      <c r="A45" s="85">
        <v>6</v>
      </c>
      <c r="B45" s="70">
        <v>2</v>
      </c>
      <c r="C45" s="71">
        <f>SUM($B$40:B45)</f>
        <v>12</v>
      </c>
      <c r="D45" s="71">
        <f t="shared" si="0"/>
        <v>26</v>
      </c>
      <c r="E45" s="72">
        <f t="shared" si="1"/>
        <v>6735051.2335526319</v>
      </c>
      <c r="F45" s="72">
        <f t="shared" si="2"/>
        <v>606154.61101973685</v>
      </c>
      <c r="G45" s="72">
        <f t="shared" si="3"/>
        <v>134701.02467105264</v>
      </c>
      <c r="H45" s="72">
        <f t="shared" si="4"/>
        <v>269402.04934210528</v>
      </c>
      <c r="I45" s="72">
        <f t="shared" si="5"/>
        <v>0</v>
      </c>
      <c r="J45" s="72">
        <f t="shared" si="6"/>
        <v>5724793.5485197371</v>
      </c>
      <c r="K45" s="72">
        <f t="shared" si="7"/>
        <v>32314804.371151462</v>
      </c>
      <c r="L45" s="72">
        <f t="shared" si="8"/>
        <v>491454.31647792849</v>
      </c>
      <c r="M45" s="72">
        <f t="shared" si="9"/>
        <v>32806258.687629391</v>
      </c>
      <c r="N45" s="72">
        <f t="shared" si="10"/>
        <v>5724793.5485197371</v>
      </c>
      <c r="O45" s="72">
        <f t="shared" si="11"/>
        <v>0</v>
      </c>
      <c r="P45" s="72">
        <f t="shared" si="12"/>
        <v>27081465.139109652</v>
      </c>
      <c r="Q45" s="72">
        <f t="shared" si="13"/>
        <v>0</v>
      </c>
      <c r="R45" s="41" t="str">
        <f t="shared" si="14"/>
        <v>Se sigue pagando banco</v>
      </c>
      <c r="T45">
        <f t="shared" si="15"/>
        <v>6</v>
      </c>
      <c r="U45" s="32">
        <f t="shared" si="16"/>
        <v>6735051.2335526319</v>
      </c>
      <c r="V45" s="32">
        <f t="shared" si="17"/>
        <v>0</v>
      </c>
      <c r="W45" s="32">
        <f t="shared" si="18"/>
        <v>27081465.139109652</v>
      </c>
    </row>
    <row r="46" spans="1:23" ht="26.75" customHeight="1">
      <c r="A46" s="85">
        <v>7</v>
      </c>
      <c r="B46" s="73">
        <v>2</v>
      </c>
      <c r="C46" s="71">
        <f>SUM($B$40:B46)</f>
        <v>14</v>
      </c>
      <c r="D46" s="71">
        <f t="shared" si="0"/>
        <v>24</v>
      </c>
      <c r="E46" s="72">
        <f t="shared" si="1"/>
        <v>6735051.2335526319</v>
      </c>
      <c r="F46" s="72">
        <f t="shared" si="2"/>
        <v>606154.61101973685</v>
      </c>
      <c r="G46" s="72">
        <f t="shared" si="3"/>
        <v>134701.02467105264</v>
      </c>
      <c r="H46" s="72">
        <f t="shared" si="4"/>
        <v>269402.04934210528</v>
      </c>
      <c r="I46" s="72">
        <f t="shared" si="5"/>
        <v>0</v>
      </c>
      <c r="J46" s="72">
        <f t="shared" si="6"/>
        <v>5724793.5485197371</v>
      </c>
      <c r="K46" s="72">
        <f t="shared" si="7"/>
        <v>27081465.139109652</v>
      </c>
      <c r="L46" s="72">
        <f t="shared" si="8"/>
        <v>411863.94899062591</v>
      </c>
      <c r="M46" s="72">
        <f t="shared" si="9"/>
        <v>27493329.088100277</v>
      </c>
      <c r="N46" s="72">
        <f t="shared" si="10"/>
        <v>5724793.5485197371</v>
      </c>
      <c r="O46" s="72">
        <f t="shared" si="11"/>
        <v>0</v>
      </c>
      <c r="P46" s="72">
        <f t="shared" si="12"/>
        <v>21768535.539580539</v>
      </c>
      <c r="Q46" s="72">
        <f t="shared" si="13"/>
        <v>0</v>
      </c>
      <c r="R46" s="41" t="str">
        <f t="shared" si="14"/>
        <v>Se sigue pagando banco</v>
      </c>
      <c r="T46">
        <f t="shared" si="15"/>
        <v>7</v>
      </c>
      <c r="U46" s="32">
        <f t="shared" si="16"/>
        <v>6735051.2335526319</v>
      </c>
      <c r="V46" s="32">
        <f t="shared" si="17"/>
        <v>0</v>
      </c>
      <c r="W46" s="32">
        <f t="shared" si="18"/>
        <v>21768535.539580539</v>
      </c>
    </row>
    <row r="47" spans="1:23" ht="26.75" customHeight="1">
      <c r="A47" s="86">
        <v>8</v>
      </c>
      <c r="B47" s="74">
        <v>2</v>
      </c>
      <c r="C47" s="75">
        <f>SUM($B$40:B47)</f>
        <v>16</v>
      </c>
      <c r="D47" s="75">
        <f t="shared" si="0"/>
        <v>22</v>
      </c>
      <c r="E47" s="76">
        <f t="shared" si="1"/>
        <v>6735051.2335526319</v>
      </c>
      <c r="F47" s="76">
        <f t="shared" si="2"/>
        <v>606154.61101973685</v>
      </c>
      <c r="G47" s="76">
        <f t="shared" si="3"/>
        <v>134701.02467105264</v>
      </c>
      <c r="H47" s="76">
        <f t="shared" si="4"/>
        <v>269402.04934210528</v>
      </c>
      <c r="I47" s="76">
        <f t="shared" si="5"/>
        <v>0</v>
      </c>
      <c r="J47" s="76">
        <f t="shared" si="6"/>
        <v>5724793.5485197371</v>
      </c>
      <c r="K47" s="76">
        <f t="shared" si="7"/>
        <v>21768535.539580539</v>
      </c>
      <c r="L47" s="76">
        <f t="shared" si="8"/>
        <v>331063.14466445398</v>
      </c>
      <c r="M47" s="76">
        <f t="shared" si="9"/>
        <v>22099598.684244994</v>
      </c>
      <c r="N47" s="76">
        <f t="shared" si="10"/>
        <v>5724793.5485197371</v>
      </c>
      <c r="O47" s="76">
        <f t="shared" si="11"/>
        <v>0</v>
      </c>
      <c r="P47" s="76">
        <f t="shared" si="12"/>
        <v>16374805.135725256</v>
      </c>
      <c r="Q47" s="76">
        <f t="shared" si="13"/>
        <v>0</v>
      </c>
      <c r="R47" s="68" t="str">
        <f t="shared" si="14"/>
        <v>Se sigue pagando banco</v>
      </c>
      <c r="T47">
        <f t="shared" si="15"/>
        <v>8</v>
      </c>
      <c r="U47" s="32">
        <f t="shared" si="16"/>
        <v>6735051.2335526319</v>
      </c>
      <c r="V47" s="32">
        <f t="shared" si="17"/>
        <v>0</v>
      </c>
      <c r="W47" s="32">
        <f t="shared" si="18"/>
        <v>16374805.135725256</v>
      </c>
    </row>
    <row r="48" spans="1:23" ht="26.75" customHeight="1">
      <c r="A48" s="85">
        <v>9</v>
      </c>
      <c r="B48" s="73">
        <v>2</v>
      </c>
      <c r="C48" s="71">
        <f>SUM($B$40:B48)</f>
        <v>18</v>
      </c>
      <c r="D48" s="71">
        <f t="shared" si="0"/>
        <v>20</v>
      </c>
      <c r="E48" s="72">
        <f t="shared" si="1"/>
        <v>6735051.2335526319</v>
      </c>
      <c r="F48" s="72">
        <f t="shared" si="2"/>
        <v>606154.61101973685</v>
      </c>
      <c r="G48" s="72">
        <f t="shared" si="3"/>
        <v>134701.02467105264</v>
      </c>
      <c r="H48" s="72">
        <f t="shared" si="4"/>
        <v>269402.04934210528</v>
      </c>
      <c r="I48" s="72">
        <f t="shared" si="5"/>
        <v>0</v>
      </c>
      <c r="J48" s="72">
        <f t="shared" si="6"/>
        <v>5724793.5485197371</v>
      </c>
      <c r="K48" s="72">
        <f t="shared" si="7"/>
        <v>16374805.135725256</v>
      </c>
      <c r="L48" s="72">
        <f t="shared" si="8"/>
        <v>249033.49477248825</v>
      </c>
      <c r="M48" s="72">
        <f t="shared" si="9"/>
        <v>16623838.630497744</v>
      </c>
      <c r="N48" s="72">
        <f t="shared" si="10"/>
        <v>5724793.5485197371</v>
      </c>
      <c r="O48" s="72">
        <f t="shared" si="11"/>
        <v>0</v>
      </c>
      <c r="P48" s="72">
        <f t="shared" si="12"/>
        <v>10899045.081978008</v>
      </c>
      <c r="Q48" s="72">
        <f t="shared" si="13"/>
        <v>0</v>
      </c>
      <c r="R48" s="41" t="str">
        <f t="shared" si="14"/>
        <v>Se sigue pagando banco</v>
      </c>
      <c r="T48">
        <f t="shared" si="15"/>
        <v>9</v>
      </c>
      <c r="U48" s="32">
        <f t="shared" si="16"/>
        <v>6735051.2335526319</v>
      </c>
      <c r="V48" s="32">
        <f t="shared" si="17"/>
        <v>0</v>
      </c>
      <c r="W48" s="32">
        <f t="shared" si="18"/>
        <v>10899045.081978008</v>
      </c>
    </row>
    <row r="49" spans="1:23" ht="26.75" customHeight="1">
      <c r="A49" s="85">
        <v>10</v>
      </c>
      <c r="B49" s="73">
        <v>2</v>
      </c>
      <c r="C49" s="71">
        <f>SUM($B$40:B49)</f>
        <v>20</v>
      </c>
      <c r="D49" s="71">
        <f t="shared" si="0"/>
        <v>18</v>
      </c>
      <c r="E49" s="72">
        <f t="shared" si="1"/>
        <v>6735051.2335526319</v>
      </c>
      <c r="F49" s="72">
        <f t="shared" si="2"/>
        <v>606154.61101973685</v>
      </c>
      <c r="G49" s="72">
        <f t="shared" si="3"/>
        <v>134701.02467105264</v>
      </c>
      <c r="H49" s="72">
        <f t="shared" si="4"/>
        <v>269402.04934210528</v>
      </c>
      <c r="I49" s="72">
        <f t="shared" si="5"/>
        <v>0</v>
      </c>
      <c r="J49" s="72">
        <f t="shared" si="6"/>
        <v>5724793.5485197371</v>
      </c>
      <c r="K49" s="72">
        <f t="shared" si="7"/>
        <v>10899045.081978008</v>
      </c>
      <c r="L49" s="72">
        <f t="shared" si="8"/>
        <v>165756.31062174885</v>
      </c>
      <c r="M49" s="72">
        <f t="shared" si="9"/>
        <v>11064801.392599758</v>
      </c>
      <c r="N49" s="72">
        <f t="shared" si="10"/>
        <v>5724793.5485197371</v>
      </c>
      <c r="O49" s="72">
        <f t="shared" si="11"/>
        <v>0</v>
      </c>
      <c r="P49" s="72">
        <f t="shared" si="12"/>
        <v>5340007.8440800207</v>
      </c>
      <c r="Q49" s="72">
        <f t="shared" si="13"/>
        <v>0</v>
      </c>
      <c r="R49" s="41" t="str">
        <f t="shared" si="14"/>
        <v>Se sigue pagando banco</v>
      </c>
      <c r="T49">
        <f t="shared" si="15"/>
        <v>10</v>
      </c>
      <c r="U49" s="32">
        <f t="shared" si="16"/>
        <v>6735051.2335526319</v>
      </c>
      <c r="V49" s="32">
        <f t="shared" si="17"/>
        <v>0</v>
      </c>
      <c r="W49" s="32">
        <f t="shared" si="18"/>
        <v>5340007.8440800207</v>
      </c>
    </row>
    <row r="50" spans="1:23" ht="26.75" customHeight="1">
      <c r="A50" s="85">
        <v>11</v>
      </c>
      <c r="B50" s="73">
        <v>2</v>
      </c>
      <c r="C50" s="71">
        <f>SUM($B$40:B50)</f>
        <v>22</v>
      </c>
      <c r="D50" s="71">
        <f t="shared" si="0"/>
        <v>16</v>
      </c>
      <c r="E50" s="72">
        <f t="shared" si="1"/>
        <v>6735051.2335526319</v>
      </c>
      <c r="F50" s="72">
        <f t="shared" si="2"/>
        <v>606154.61101973685</v>
      </c>
      <c r="G50" s="72">
        <f t="shared" si="3"/>
        <v>134701.02467105264</v>
      </c>
      <c r="H50" s="72">
        <f t="shared" si="4"/>
        <v>269402.04934210528</v>
      </c>
      <c r="I50" s="72">
        <f t="shared" si="5"/>
        <v>0</v>
      </c>
      <c r="J50" s="72">
        <f t="shared" si="6"/>
        <v>5724793.5485197371</v>
      </c>
      <c r="K50" s="72">
        <f t="shared" si="7"/>
        <v>5340007.8440800207</v>
      </c>
      <c r="L50" s="72">
        <f t="shared" si="8"/>
        <v>81212.619295383643</v>
      </c>
      <c r="M50" s="72">
        <f t="shared" si="9"/>
        <v>5421220.4633754045</v>
      </c>
      <c r="N50" s="72">
        <f t="shared" si="10"/>
        <v>5421220.4633754045</v>
      </c>
      <c r="O50" s="72">
        <f t="shared" si="11"/>
        <v>303573.08514433261</v>
      </c>
      <c r="P50" s="72">
        <f t="shared" si="12"/>
        <v>0</v>
      </c>
      <c r="Q50" s="72">
        <f t="shared" si="13"/>
        <v>0</v>
      </c>
      <c r="R50" s="41" t="str">
        <f t="shared" si="14"/>
        <v>Flujo libre</v>
      </c>
      <c r="T50">
        <f t="shared" si="15"/>
        <v>11</v>
      </c>
      <c r="U50" s="32">
        <f t="shared" si="16"/>
        <v>6735051.2335526319</v>
      </c>
      <c r="V50" s="32">
        <f t="shared" si="17"/>
        <v>303573.08514433261</v>
      </c>
      <c r="W50" s="32">
        <f t="shared" si="18"/>
        <v>0</v>
      </c>
    </row>
    <row r="51" spans="1:23" ht="26.75" customHeight="1">
      <c r="A51" s="69">
        <v>12</v>
      </c>
      <c r="B51" s="77">
        <v>2</v>
      </c>
      <c r="C51" s="78">
        <f>SUM($B$40:B51)</f>
        <v>24</v>
      </c>
      <c r="D51" s="78">
        <f t="shared" si="0"/>
        <v>14</v>
      </c>
      <c r="E51" s="79">
        <f t="shared" si="1"/>
        <v>6735051.2335526319</v>
      </c>
      <c r="F51" s="79">
        <f t="shared" si="2"/>
        <v>606154.61101973685</v>
      </c>
      <c r="G51" s="79">
        <f t="shared" si="3"/>
        <v>134701.02467105264</v>
      </c>
      <c r="H51" s="79">
        <f t="shared" si="4"/>
        <v>269402.04934210528</v>
      </c>
      <c r="I51" s="79">
        <f t="shared" si="5"/>
        <v>0</v>
      </c>
      <c r="J51" s="79">
        <f t="shared" si="6"/>
        <v>5724793.5485197371</v>
      </c>
      <c r="K51" s="79">
        <f t="shared" si="7"/>
        <v>0</v>
      </c>
      <c r="L51" s="79">
        <f t="shared" si="8"/>
        <v>0</v>
      </c>
      <c r="M51" s="72">
        <f t="shared" si="9"/>
        <v>0</v>
      </c>
      <c r="N51" s="72">
        <f t="shared" si="10"/>
        <v>0</v>
      </c>
      <c r="O51" s="72">
        <f t="shared" si="11"/>
        <v>5724793.5485197371</v>
      </c>
      <c r="P51" s="72">
        <f t="shared" si="12"/>
        <v>0</v>
      </c>
      <c r="Q51" s="72">
        <f t="shared" si="13"/>
        <v>0</v>
      </c>
      <c r="R51" s="41" t="str">
        <f t="shared" si="14"/>
        <v>Flujo libre</v>
      </c>
      <c r="T51">
        <f t="shared" si="15"/>
        <v>12</v>
      </c>
      <c r="U51" s="32">
        <f t="shared" si="16"/>
        <v>6735051.2335526319</v>
      </c>
      <c r="V51" s="32">
        <f t="shared" si="17"/>
        <v>5724793.5485197371</v>
      </c>
      <c r="W51" s="32">
        <f t="shared" si="18"/>
        <v>0</v>
      </c>
    </row>
    <row r="52" spans="1:23" ht="26.75" customHeight="1">
      <c r="A52" s="87">
        <v>13</v>
      </c>
      <c r="B52" s="73">
        <v>2</v>
      </c>
      <c r="C52" s="71">
        <f>SUM($B$40:B52)</f>
        <v>26</v>
      </c>
      <c r="D52" s="71">
        <f t="shared" si="0"/>
        <v>12</v>
      </c>
      <c r="E52" s="72">
        <f t="shared" si="1"/>
        <v>6735051.2335526319</v>
      </c>
      <c r="F52" s="72">
        <f t="shared" si="2"/>
        <v>606154.61101973685</v>
      </c>
      <c r="G52" s="72">
        <f t="shared" si="3"/>
        <v>134701.02467105264</v>
      </c>
      <c r="H52" s="72">
        <f t="shared" si="4"/>
        <v>269402.04934210528</v>
      </c>
      <c r="I52" s="72">
        <f t="shared" si="5"/>
        <v>0</v>
      </c>
      <c r="J52" s="72">
        <f t="shared" si="6"/>
        <v>5724793.5485197371</v>
      </c>
      <c r="K52" s="72">
        <f t="shared" si="7"/>
        <v>0</v>
      </c>
      <c r="L52" s="72">
        <f t="shared" si="8"/>
        <v>0</v>
      </c>
      <c r="M52" s="72">
        <f t="shared" si="9"/>
        <v>0</v>
      </c>
      <c r="N52" s="72">
        <f t="shared" si="10"/>
        <v>0</v>
      </c>
      <c r="O52" s="72">
        <f t="shared" si="11"/>
        <v>5724793.5485197371</v>
      </c>
      <c r="P52" s="72">
        <f t="shared" si="12"/>
        <v>0</v>
      </c>
      <c r="Q52" s="72">
        <f t="shared" si="13"/>
        <v>0</v>
      </c>
      <c r="R52" s="41" t="str">
        <f t="shared" si="14"/>
        <v>Flujo libre</v>
      </c>
      <c r="T52">
        <f t="shared" si="15"/>
        <v>13</v>
      </c>
      <c r="U52" s="32">
        <f t="shared" si="16"/>
        <v>6735051.2335526319</v>
      </c>
      <c r="V52" s="32">
        <f t="shared" si="17"/>
        <v>5724793.5485197371</v>
      </c>
      <c r="W52" s="32">
        <f t="shared" si="18"/>
        <v>0</v>
      </c>
    </row>
    <row r="53" spans="1:23" ht="26.75" customHeight="1">
      <c r="A53" s="85">
        <v>14</v>
      </c>
      <c r="B53" s="73">
        <v>2</v>
      </c>
      <c r="C53" s="71">
        <f>SUM($B$40:B53)</f>
        <v>28</v>
      </c>
      <c r="D53" s="71">
        <f t="shared" si="0"/>
        <v>10</v>
      </c>
      <c r="E53" s="72">
        <f t="shared" si="1"/>
        <v>6735051.2335526319</v>
      </c>
      <c r="F53" s="72">
        <f t="shared" si="2"/>
        <v>606154.61101973685</v>
      </c>
      <c r="G53" s="72">
        <f t="shared" si="3"/>
        <v>134701.02467105264</v>
      </c>
      <c r="H53" s="72">
        <f t="shared" si="4"/>
        <v>269402.04934210528</v>
      </c>
      <c r="I53" s="72">
        <f t="shared" si="5"/>
        <v>0</v>
      </c>
      <c r="J53" s="72">
        <f t="shared" si="6"/>
        <v>5724793.5485197371</v>
      </c>
      <c r="K53" s="72">
        <f t="shared" si="7"/>
        <v>0</v>
      </c>
      <c r="L53" s="72">
        <f t="shared" si="8"/>
        <v>0</v>
      </c>
      <c r="M53" s="72">
        <f t="shared" si="9"/>
        <v>0</v>
      </c>
      <c r="N53" s="72">
        <f t="shared" si="10"/>
        <v>0</v>
      </c>
      <c r="O53" s="72">
        <f t="shared" si="11"/>
        <v>5724793.5485197371</v>
      </c>
      <c r="P53" s="72">
        <f t="shared" si="12"/>
        <v>0</v>
      </c>
      <c r="Q53" s="72">
        <f t="shared" si="13"/>
        <v>0</v>
      </c>
      <c r="R53" s="41" t="str">
        <f t="shared" si="14"/>
        <v>Flujo libre</v>
      </c>
      <c r="T53">
        <f t="shared" si="15"/>
        <v>14</v>
      </c>
      <c r="U53" s="32">
        <f t="shared" si="16"/>
        <v>6735051.2335526319</v>
      </c>
      <c r="V53" s="32">
        <f t="shared" si="17"/>
        <v>5724793.5485197371</v>
      </c>
      <c r="W53" s="32">
        <f t="shared" si="18"/>
        <v>0</v>
      </c>
    </row>
    <row r="54" spans="1:23" ht="26.75" customHeight="1">
      <c r="A54" s="85">
        <v>15</v>
      </c>
      <c r="B54" s="73">
        <v>2</v>
      </c>
      <c r="C54" s="71">
        <f>SUM($B$40:B54)</f>
        <v>30</v>
      </c>
      <c r="D54" s="71">
        <f t="shared" si="0"/>
        <v>8</v>
      </c>
      <c r="E54" s="72">
        <f t="shared" si="1"/>
        <v>6735051.2335526319</v>
      </c>
      <c r="F54" s="72">
        <f t="shared" si="2"/>
        <v>606154.61101973685</v>
      </c>
      <c r="G54" s="72">
        <f t="shared" si="3"/>
        <v>134701.02467105264</v>
      </c>
      <c r="H54" s="72">
        <f t="shared" si="4"/>
        <v>269402.04934210528</v>
      </c>
      <c r="I54" s="72">
        <f t="shared" si="5"/>
        <v>0</v>
      </c>
      <c r="J54" s="72">
        <f t="shared" si="6"/>
        <v>5724793.5485197371</v>
      </c>
      <c r="K54" s="72">
        <f t="shared" si="7"/>
        <v>0</v>
      </c>
      <c r="L54" s="72">
        <f t="shared" si="8"/>
        <v>0</v>
      </c>
      <c r="M54" s="72">
        <f t="shared" si="9"/>
        <v>0</v>
      </c>
      <c r="N54" s="72">
        <f t="shared" si="10"/>
        <v>0</v>
      </c>
      <c r="O54" s="72">
        <f t="shared" si="11"/>
        <v>5724793.5485197371</v>
      </c>
      <c r="P54" s="72">
        <f t="shared" si="12"/>
        <v>0</v>
      </c>
      <c r="Q54" s="72">
        <f t="shared" si="13"/>
        <v>0</v>
      </c>
      <c r="R54" s="41" t="str">
        <f t="shared" si="14"/>
        <v>Flujo libre</v>
      </c>
      <c r="T54">
        <f t="shared" si="15"/>
        <v>15</v>
      </c>
      <c r="U54" s="32">
        <f t="shared" si="16"/>
        <v>6735051.2335526319</v>
      </c>
      <c r="V54" s="32">
        <f t="shared" si="17"/>
        <v>5724793.5485197371</v>
      </c>
      <c r="W54" s="32">
        <f t="shared" si="18"/>
        <v>0</v>
      </c>
    </row>
    <row r="55" spans="1:23" ht="26.75" customHeight="1">
      <c r="A55" s="85">
        <v>16</v>
      </c>
      <c r="B55" s="73">
        <v>2</v>
      </c>
      <c r="C55" s="71">
        <f>SUM($B$40:B55)</f>
        <v>32</v>
      </c>
      <c r="D55" s="71">
        <f t="shared" si="0"/>
        <v>6</v>
      </c>
      <c r="E55" s="72">
        <f t="shared" si="1"/>
        <v>6735051.2335526319</v>
      </c>
      <c r="F55" s="72">
        <f t="shared" si="2"/>
        <v>606154.61101973685</v>
      </c>
      <c r="G55" s="72">
        <f t="shared" si="3"/>
        <v>134701.02467105264</v>
      </c>
      <c r="H55" s="72">
        <f t="shared" si="4"/>
        <v>269402.04934210528</v>
      </c>
      <c r="I55" s="72">
        <f t="shared" si="5"/>
        <v>0</v>
      </c>
      <c r="J55" s="72">
        <f t="shared" si="6"/>
        <v>5724793.5485197371</v>
      </c>
      <c r="K55" s="72">
        <f t="shared" si="7"/>
        <v>0</v>
      </c>
      <c r="L55" s="72">
        <f t="shared" si="8"/>
        <v>0</v>
      </c>
      <c r="M55" s="72">
        <f t="shared" si="9"/>
        <v>0</v>
      </c>
      <c r="N55" s="72">
        <f t="shared" si="10"/>
        <v>0</v>
      </c>
      <c r="O55" s="72">
        <f t="shared" si="11"/>
        <v>5724793.5485197371</v>
      </c>
      <c r="P55" s="72">
        <f t="shared" si="12"/>
        <v>0</v>
      </c>
      <c r="Q55" s="72">
        <f t="shared" si="13"/>
        <v>0</v>
      </c>
      <c r="R55" s="41" t="str">
        <f t="shared" si="14"/>
        <v>Flujo libre</v>
      </c>
      <c r="T55">
        <f t="shared" si="15"/>
        <v>16</v>
      </c>
      <c r="U55" s="32">
        <f t="shared" si="16"/>
        <v>6735051.2335526319</v>
      </c>
      <c r="V55" s="32">
        <f t="shared" si="17"/>
        <v>5724793.5485197371</v>
      </c>
      <c r="W55" s="32">
        <f t="shared" si="18"/>
        <v>0</v>
      </c>
    </row>
    <row r="56" spans="1:23" ht="26.75" customHeight="1">
      <c r="A56" s="85">
        <v>17</v>
      </c>
      <c r="B56" s="73">
        <v>2</v>
      </c>
      <c r="C56" s="71">
        <f>SUM($B$40:B56)</f>
        <v>34</v>
      </c>
      <c r="D56" s="71">
        <f t="shared" si="0"/>
        <v>4</v>
      </c>
      <c r="E56" s="72">
        <f t="shared" si="1"/>
        <v>6735051.2335526319</v>
      </c>
      <c r="F56" s="72">
        <f t="shared" si="2"/>
        <v>606154.61101973685</v>
      </c>
      <c r="G56" s="72">
        <f t="shared" si="3"/>
        <v>134701.02467105264</v>
      </c>
      <c r="H56" s="72">
        <f t="shared" si="4"/>
        <v>269402.04934210528</v>
      </c>
      <c r="I56" s="72">
        <f t="shared" si="5"/>
        <v>0</v>
      </c>
      <c r="J56" s="72">
        <f t="shared" si="6"/>
        <v>5724793.5485197371</v>
      </c>
      <c r="K56" s="72">
        <f t="shared" si="7"/>
        <v>0</v>
      </c>
      <c r="L56" s="72">
        <f t="shared" si="8"/>
        <v>0</v>
      </c>
      <c r="M56" s="72">
        <f t="shared" si="9"/>
        <v>0</v>
      </c>
      <c r="N56" s="72">
        <f t="shared" si="10"/>
        <v>0</v>
      </c>
      <c r="O56" s="72">
        <f t="shared" si="11"/>
        <v>5724793.5485197371</v>
      </c>
      <c r="P56" s="72">
        <f t="shared" si="12"/>
        <v>0</v>
      </c>
      <c r="Q56" s="72">
        <f t="shared" si="13"/>
        <v>0</v>
      </c>
      <c r="R56" s="41" t="str">
        <f t="shared" si="14"/>
        <v>Flujo libre</v>
      </c>
      <c r="T56">
        <f t="shared" si="15"/>
        <v>17</v>
      </c>
      <c r="U56" s="32">
        <f t="shared" si="16"/>
        <v>6735051.2335526319</v>
      </c>
      <c r="V56" s="32">
        <f t="shared" si="17"/>
        <v>5724793.5485197371</v>
      </c>
      <c r="W56" s="32">
        <f t="shared" si="18"/>
        <v>0</v>
      </c>
    </row>
    <row r="57" spans="1:23" ht="26.75" customHeight="1">
      <c r="A57" s="85">
        <v>18</v>
      </c>
      <c r="B57" s="73">
        <v>2</v>
      </c>
      <c r="C57" s="71">
        <f>SUM($B$40:B57)</f>
        <v>36</v>
      </c>
      <c r="D57" s="71">
        <f t="shared" si="0"/>
        <v>2</v>
      </c>
      <c r="E57" s="72">
        <f t="shared" si="1"/>
        <v>6735051.2335526319</v>
      </c>
      <c r="F57" s="72">
        <f t="shared" si="2"/>
        <v>606154.61101973685</v>
      </c>
      <c r="G57" s="72">
        <f t="shared" si="3"/>
        <v>134701.02467105264</v>
      </c>
      <c r="H57" s="72">
        <f t="shared" si="4"/>
        <v>269402.04934210528</v>
      </c>
      <c r="I57" s="72">
        <f t="shared" si="5"/>
        <v>0</v>
      </c>
      <c r="J57" s="72">
        <f t="shared" si="6"/>
        <v>5724793.5485197371</v>
      </c>
      <c r="K57" s="72">
        <f t="shared" si="7"/>
        <v>0</v>
      </c>
      <c r="L57" s="72">
        <f t="shared" si="8"/>
        <v>0</v>
      </c>
      <c r="M57" s="72">
        <f t="shared" si="9"/>
        <v>0</v>
      </c>
      <c r="N57" s="72">
        <f t="shared" si="10"/>
        <v>0</v>
      </c>
      <c r="O57" s="72">
        <f t="shared" si="11"/>
        <v>5724793.5485197371</v>
      </c>
      <c r="P57" s="72">
        <f t="shared" si="12"/>
        <v>0</v>
      </c>
      <c r="Q57" s="72">
        <f t="shared" si="13"/>
        <v>0</v>
      </c>
      <c r="R57" s="41" t="str">
        <f t="shared" si="14"/>
        <v>Flujo libre</v>
      </c>
      <c r="T57">
        <f t="shared" si="15"/>
        <v>18</v>
      </c>
      <c r="U57" s="32">
        <f t="shared" si="16"/>
        <v>6735051.2335526319</v>
      </c>
      <c r="V57" s="32">
        <f t="shared" si="17"/>
        <v>5724793.5485197371</v>
      </c>
      <c r="W57" s="32">
        <f t="shared" si="18"/>
        <v>0</v>
      </c>
    </row>
    <row r="58" spans="1:23" ht="26.75" customHeight="1">
      <c r="A58" s="85">
        <v>19</v>
      </c>
      <c r="B58" s="73">
        <v>2</v>
      </c>
      <c r="C58" s="71">
        <f>SUM($B$40:B58)</f>
        <v>38</v>
      </c>
      <c r="D58" s="71">
        <f t="shared" si="0"/>
        <v>0</v>
      </c>
      <c r="E58" s="72">
        <f t="shared" si="1"/>
        <v>6735051.2335526319</v>
      </c>
      <c r="F58" s="72">
        <f t="shared" si="2"/>
        <v>606154.61101973685</v>
      </c>
      <c r="G58" s="72">
        <f t="shared" si="3"/>
        <v>134701.02467105264</v>
      </c>
      <c r="H58" s="72">
        <f t="shared" si="4"/>
        <v>269402.04934210528</v>
      </c>
      <c r="I58" s="72">
        <f t="shared" si="5"/>
        <v>0</v>
      </c>
      <c r="J58" s="72">
        <f t="shared" si="6"/>
        <v>5724793.5485197371</v>
      </c>
      <c r="K58" s="72">
        <f t="shared" si="7"/>
        <v>0</v>
      </c>
      <c r="L58" s="72">
        <f t="shared" si="8"/>
        <v>0</v>
      </c>
      <c r="M58" s="72">
        <f t="shared" si="9"/>
        <v>0</v>
      </c>
      <c r="N58" s="72">
        <f t="shared" si="10"/>
        <v>0</v>
      </c>
      <c r="O58" s="72">
        <f t="shared" si="11"/>
        <v>5724793.5485197371</v>
      </c>
      <c r="P58" s="72">
        <f t="shared" si="12"/>
        <v>0</v>
      </c>
      <c r="Q58" s="72">
        <f t="shared" si="13"/>
        <v>0</v>
      </c>
      <c r="R58" s="41" t="str">
        <f t="shared" si="14"/>
        <v>Flujo libre</v>
      </c>
      <c r="T58">
        <f t="shared" si="15"/>
        <v>19</v>
      </c>
      <c r="U58" s="32">
        <f t="shared" si="16"/>
        <v>6735051.2335526319</v>
      </c>
      <c r="V58" s="32">
        <f t="shared" si="17"/>
        <v>5724793.5485197371</v>
      </c>
      <c r="W58" s="32">
        <f t="shared" si="18"/>
        <v>0</v>
      </c>
    </row>
    <row r="59" spans="1:23" ht="26.75" customHeight="1">
      <c r="A59" s="85">
        <v>20</v>
      </c>
      <c r="B59" s="73">
        <v>0</v>
      </c>
      <c r="C59" s="71">
        <f>SUM($B$40:B59)</f>
        <v>38</v>
      </c>
      <c r="D59" s="71">
        <f t="shared" si="0"/>
        <v>0</v>
      </c>
      <c r="E59" s="72">
        <f t="shared" si="1"/>
        <v>0</v>
      </c>
      <c r="F59" s="72">
        <f t="shared" si="2"/>
        <v>0</v>
      </c>
      <c r="G59" s="72">
        <f t="shared" si="3"/>
        <v>0</v>
      </c>
      <c r="H59" s="72">
        <f t="shared" si="4"/>
        <v>0</v>
      </c>
      <c r="I59" s="72">
        <f t="shared" si="5"/>
        <v>0</v>
      </c>
      <c r="J59" s="72">
        <f t="shared" si="6"/>
        <v>0</v>
      </c>
      <c r="K59" s="72">
        <f t="shared" si="7"/>
        <v>0</v>
      </c>
      <c r="L59" s="72">
        <f t="shared" si="8"/>
        <v>0</v>
      </c>
      <c r="M59" s="72">
        <f t="shared" si="9"/>
        <v>0</v>
      </c>
      <c r="N59" s="72">
        <f t="shared" si="10"/>
        <v>0</v>
      </c>
      <c r="O59" s="72">
        <f t="shared" si="11"/>
        <v>0</v>
      </c>
      <c r="P59" s="72">
        <f t="shared" si="12"/>
        <v>0</v>
      </c>
      <c r="Q59" s="72">
        <f t="shared" si="13"/>
        <v>0</v>
      </c>
      <c r="R59" s="41" t="str">
        <f t="shared" si="14"/>
        <v>Flujo libre</v>
      </c>
      <c r="T59">
        <f t="shared" si="15"/>
        <v>20</v>
      </c>
      <c r="U59" s="32">
        <f t="shared" si="16"/>
        <v>0</v>
      </c>
      <c r="V59" s="32">
        <f t="shared" si="17"/>
        <v>0</v>
      </c>
      <c r="W59" s="32">
        <f t="shared" si="18"/>
        <v>0</v>
      </c>
    </row>
    <row r="60" spans="1:23" ht="26.75" customHeight="1">
      <c r="A60" s="85">
        <v>21</v>
      </c>
      <c r="B60" s="73">
        <v>0</v>
      </c>
      <c r="C60" s="71">
        <f>SUM($B$40:B60)</f>
        <v>38</v>
      </c>
      <c r="D60" s="71">
        <f t="shared" si="0"/>
        <v>0</v>
      </c>
      <c r="E60" s="72">
        <f t="shared" si="1"/>
        <v>0</v>
      </c>
      <c r="F60" s="72">
        <f t="shared" si="2"/>
        <v>0</v>
      </c>
      <c r="G60" s="72">
        <f t="shared" si="3"/>
        <v>0</v>
      </c>
      <c r="H60" s="72">
        <f t="shared" si="4"/>
        <v>0</v>
      </c>
      <c r="I60" s="72">
        <f t="shared" si="5"/>
        <v>0</v>
      </c>
      <c r="J60" s="72">
        <f t="shared" si="6"/>
        <v>0</v>
      </c>
      <c r="K60" s="72">
        <f t="shared" si="7"/>
        <v>0</v>
      </c>
      <c r="L60" s="72">
        <f t="shared" si="8"/>
        <v>0</v>
      </c>
      <c r="M60" s="72">
        <f t="shared" si="9"/>
        <v>0</v>
      </c>
      <c r="N60" s="72">
        <f t="shared" si="10"/>
        <v>0</v>
      </c>
      <c r="O60" s="72">
        <f t="shared" si="11"/>
        <v>0</v>
      </c>
      <c r="P60" s="72">
        <f t="shared" si="12"/>
        <v>0</v>
      </c>
      <c r="Q60" s="72">
        <f t="shared" si="13"/>
        <v>0</v>
      </c>
      <c r="R60" s="41" t="str">
        <f t="shared" si="14"/>
        <v>Flujo libre</v>
      </c>
      <c r="T60">
        <f t="shared" si="15"/>
        <v>21</v>
      </c>
      <c r="U60" s="32">
        <f t="shared" si="16"/>
        <v>0</v>
      </c>
      <c r="V60" s="32">
        <f t="shared" si="17"/>
        <v>0</v>
      </c>
      <c r="W60" s="32">
        <f t="shared" si="18"/>
        <v>0</v>
      </c>
    </row>
    <row r="61" spans="1:23" ht="26.75" customHeight="1">
      <c r="A61" s="85">
        <v>22</v>
      </c>
      <c r="B61" s="73">
        <v>0</v>
      </c>
      <c r="C61" s="71">
        <f>SUM($B$40:B61)</f>
        <v>38</v>
      </c>
      <c r="D61" s="71">
        <f t="shared" si="0"/>
        <v>0</v>
      </c>
      <c r="E61" s="72">
        <f t="shared" si="1"/>
        <v>0</v>
      </c>
      <c r="F61" s="72">
        <f t="shared" si="2"/>
        <v>0</v>
      </c>
      <c r="G61" s="72">
        <f t="shared" si="3"/>
        <v>0</v>
      </c>
      <c r="H61" s="72">
        <f t="shared" si="4"/>
        <v>0</v>
      </c>
      <c r="I61" s="72">
        <f t="shared" si="5"/>
        <v>0</v>
      </c>
      <c r="J61" s="72">
        <f t="shared" si="6"/>
        <v>0</v>
      </c>
      <c r="K61" s="72">
        <f t="shared" si="7"/>
        <v>0</v>
      </c>
      <c r="L61" s="72">
        <f t="shared" si="8"/>
        <v>0</v>
      </c>
      <c r="M61" s="72">
        <f t="shared" si="9"/>
        <v>0</v>
      </c>
      <c r="N61" s="72">
        <f t="shared" si="10"/>
        <v>0</v>
      </c>
      <c r="O61" s="72">
        <f t="shared" si="11"/>
        <v>0</v>
      </c>
      <c r="P61" s="72">
        <f t="shared" si="12"/>
        <v>0</v>
      </c>
      <c r="Q61" s="72">
        <f t="shared" si="13"/>
        <v>0</v>
      </c>
      <c r="R61" s="41" t="str">
        <f t="shared" si="14"/>
        <v>Flujo libre</v>
      </c>
      <c r="T61">
        <f t="shared" si="15"/>
        <v>22</v>
      </c>
      <c r="U61" s="32">
        <f t="shared" si="16"/>
        <v>0</v>
      </c>
      <c r="V61" s="32">
        <f t="shared" si="17"/>
        <v>0</v>
      </c>
      <c r="W61" s="32">
        <f t="shared" si="18"/>
        <v>0</v>
      </c>
    </row>
    <row r="62" spans="1:23" ht="26.75" customHeight="1">
      <c r="A62" s="85">
        <v>23</v>
      </c>
      <c r="B62" s="73">
        <v>0</v>
      </c>
      <c r="C62" s="71">
        <f>SUM($B$40:B62)</f>
        <v>38</v>
      </c>
      <c r="D62" s="71">
        <f t="shared" si="0"/>
        <v>0</v>
      </c>
      <c r="E62" s="72">
        <f t="shared" si="1"/>
        <v>0</v>
      </c>
      <c r="F62" s="72">
        <f t="shared" si="2"/>
        <v>0</v>
      </c>
      <c r="G62" s="72">
        <f t="shared" si="3"/>
        <v>0</v>
      </c>
      <c r="H62" s="72">
        <f t="shared" si="4"/>
        <v>0</v>
      </c>
      <c r="I62" s="72">
        <f t="shared" si="5"/>
        <v>0</v>
      </c>
      <c r="J62" s="72">
        <f t="shared" si="6"/>
        <v>0</v>
      </c>
      <c r="K62" s="72">
        <f t="shared" si="7"/>
        <v>0</v>
      </c>
      <c r="L62" s="72">
        <f t="shared" si="8"/>
        <v>0</v>
      </c>
      <c r="M62" s="72">
        <f t="shared" si="9"/>
        <v>0</v>
      </c>
      <c r="N62" s="72">
        <f t="shared" si="10"/>
        <v>0</v>
      </c>
      <c r="O62" s="72">
        <f t="shared" si="11"/>
        <v>0</v>
      </c>
      <c r="P62" s="72">
        <f t="shared" si="12"/>
        <v>0</v>
      </c>
      <c r="Q62" s="72">
        <f t="shared" si="13"/>
        <v>0</v>
      </c>
      <c r="R62" s="41" t="str">
        <f t="shared" si="14"/>
        <v>Flujo libre</v>
      </c>
      <c r="T62">
        <f t="shared" si="15"/>
        <v>23</v>
      </c>
      <c r="U62" s="32">
        <f t="shared" si="16"/>
        <v>0</v>
      </c>
      <c r="V62" s="32">
        <f t="shared" si="17"/>
        <v>0</v>
      </c>
      <c r="W62" s="32">
        <f t="shared" si="18"/>
        <v>0</v>
      </c>
    </row>
    <row r="63" spans="1:23" ht="26.75" customHeight="1">
      <c r="A63" s="85">
        <v>24</v>
      </c>
      <c r="B63" s="73">
        <v>0</v>
      </c>
      <c r="C63" s="71">
        <f>SUM($B$40:B63)</f>
        <v>38</v>
      </c>
      <c r="D63" s="71">
        <f t="shared" si="0"/>
        <v>0</v>
      </c>
      <c r="E63" s="72">
        <f t="shared" si="1"/>
        <v>0</v>
      </c>
      <c r="F63" s="72">
        <f t="shared" si="2"/>
        <v>0</v>
      </c>
      <c r="G63" s="72">
        <f t="shared" si="3"/>
        <v>0</v>
      </c>
      <c r="H63" s="72">
        <f t="shared" si="4"/>
        <v>0</v>
      </c>
      <c r="I63" s="72">
        <f t="shared" si="5"/>
        <v>0</v>
      </c>
      <c r="J63" s="72">
        <f t="shared" si="6"/>
        <v>0</v>
      </c>
      <c r="K63" s="72">
        <f t="shared" si="7"/>
        <v>0</v>
      </c>
      <c r="L63" s="72">
        <f t="shared" si="8"/>
        <v>0</v>
      </c>
      <c r="M63" s="72">
        <f t="shared" si="9"/>
        <v>0</v>
      </c>
      <c r="N63" s="72">
        <f t="shared" si="10"/>
        <v>0</v>
      </c>
      <c r="O63" s="72">
        <f t="shared" si="11"/>
        <v>0</v>
      </c>
      <c r="P63" s="72">
        <f t="shared" si="12"/>
        <v>0</v>
      </c>
      <c r="Q63" s="72">
        <f t="shared" si="13"/>
        <v>0</v>
      </c>
      <c r="R63" s="41" t="str">
        <f t="shared" si="14"/>
        <v>Flujo libre</v>
      </c>
      <c r="T63">
        <f t="shared" si="15"/>
        <v>24</v>
      </c>
      <c r="U63" s="32">
        <f t="shared" si="16"/>
        <v>0</v>
      </c>
      <c r="V63" s="32">
        <f t="shared" si="17"/>
        <v>0</v>
      </c>
      <c r="W63" s="32">
        <f t="shared" si="18"/>
        <v>0</v>
      </c>
    </row>
    <row r="64" spans="1:23" ht="26.75" customHeight="1">
      <c r="A64" s="85">
        <v>25</v>
      </c>
      <c r="B64" s="73">
        <v>0</v>
      </c>
      <c r="C64" s="71">
        <f>SUM($B$40:B64)</f>
        <v>38</v>
      </c>
      <c r="D64" s="71">
        <f t="shared" si="0"/>
        <v>0</v>
      </c>
      <c r="E64" s="72">
        <f t="shared" si="1"/>
        <v>0</v>
      </c>
      <c r="F64" s="72">
        <f t="shared" si="2"/>
        <v>0</v>
      </c>
      <c r="G64" s="72">
        <f t="shared" si="3"/>
        <v>0</v>
      </c>
      <c r="H64" s="72">
        <f t="shared" si="4"/>
        <v>0</v>
      </c>
      <c r="I64" s="72">
        <f t="shared" si="5"/>
        <v>0</v>
      </c>
      <c r="J64" s="72">
        <f t="shared" si="6"/>
        <v>0</v>
      </c>
      <c r="K64" s="72">
        <f t="shared" si="7"/>
        <v>0</v>
      </c>
      <c r="L64" s="72">
        <f t="shared" si="8"/>
        <v>0</v>
      </c>
      <c r="M64" s="72">
        <f t="shared" si="9"/>
        <v>0</v>
      </c>
      <c r="N64" s="72">
        <f t="shared" si="10"/>
        <v>0</v>
      </c>
      <c r="O64" s="72">
        <f t="shared" si="11"/>
        <v>0</v>
      </c>
      <c r="P64" s="72">
        <f t="shared" si="12"/>
        <v>0</v>
      </c>
      <c r="Q64" s="72">
        <f t="shared" si="13"/>
        <v>0</v>
      </c>
      <c r="R64" s="41" t="str">
        <f t="shared" si="14"/>
        <v>Flujo libre</v>
      </c>
      <c r="T64">
        <f t="shared" si="15"/>
        <v>25</v>
      </c>
      <c r="U64" s="32">
        <f t="shared" si="16"/>
        <v>0</v>
      </c>
      <c r="V64" s="32">
        <f t="shared" si="17"/>
        <v>0</v>
      </c>
      <c r="W64" s="32">
        <f t="shared" si="18"/>
        <v>0</v>
      </c>
    </row>
    <row r="65" spans="1:32" ht="26.75" customHeight="1">
      <c r="A65" s="85">
        <v>26</v>
      </c>
      <c r="B65" s="73">
        <v>0</v>
      </c>
      <c r="C65" s="71">
        <f>SUM($B$40:B65)</f>
        <v>38</v>
      </c>
      <c r="D65" s="71">
        <f t="shared" si="0"/>
        <v>0</v>
      </c>
      <c r="E65" s="72">
        <f t="shared" si="1"/>
        <v>0</v>
      </c>
      <c r="F65" s="72">
        <f t="shared" si="2"/>
        <v>0</v>
      </c>
      <c r="G65" s="72">
        <f t="shared" si="3"/>
        <v>0</v>
      </c>
      <c r="H65" s="72">
        <f t="shared" si="4"/>
        <v>0</v>
      </c>
      <c r="I65" s="72">
        <f t="shared" si="5"/>
        <v>0</v>
      </c>
      <c r="J65" s="72">
        <f t="shared" si="6"/>
        <v>0</v>
      </c>
      <c r="K65" s="72">
        <f t="shared" si="7"/>
        <v>0</v>
      </c>
      <c r="L65" s="72">
        <f t="shared" si="8"/>
        <v>0</v>
      </c>
      <c r="M65" s="72">
        <f t="shared" si="9"/>
        <v>0</v>
      </c>
      <c r="N65" s="72">
        <f t="shared" si="10"/>
        <v>0</v>
      </c>
      <c r="O65" s="72">
        <f t="shared" si="11"/>
        <v>0</v>
      </c>
      <c r="P65" s="72">
        <f t="shared" si="12"/>
        <v>0</v>
      </c>
      <c r="Q65" s="72">
        <f t="shared" si="13"/>
        <v>0</v>
      </c>
      <c r="R65" s="41" t="str">
        <f t="shared" si="14"/>
        <v>Flujo libre</v>
      </c>
      <c r="T65">
        <f t="shared" si="15"/>
        <v>26</v>
      </c>
      <c r="U65" s="32">
        <f t="shared" si="16"/>
        <v>0</v>
      </c>
      <c r="V65" s="32">
        <f t="shared" si="17"/>
        <v>0</v>
      </c>
      <c r="W65" s="32">
        <f t="shared" si="18"/>
        <v>0</v>
      </c>
    </row>
    <row r="66" spans="1:32" ht="26.75" customHeight="1">
      <c r="A66" s="85">
        <v>27</v>
      </c>
      <c r="B66" s="73">
        <v>0</v>
      </c>
      <c r="C66" s="71">
        <f>SUM($B$40:B66)</f>
        <v>38</v>
      </c>
      <c r="D66" s="71">
        <f t="shared" si="0"/>
        <v>0</v>
      </c>
      <c r="E66" s="72">
        <f t="shared" si="1"/>
        <v>0</v>
      </c>
      <c r="F66" s="72">
        <f t="shared" si="2"/>
        <v>0</v>
      </c>
      <c r="G66" s="72">
        <f t="shared" si="3"/>
        <v>0</v>
      </c>
      <c r="H66" s="72">
        <f t="shared" si="4"/>
        <v>0</v>
      </c>
      <c r="I66" s="72">
        <f t="shared" si="5"/>
        <v>0</v>
      </c>
      <c r="J66" s="72">
        <f t="shared" si="6"/>
        <v>0</v>
      </c>
      <c r="K66" s="72">
        <f t="shared" si="7"/>
        <v>0</v>
      </c>
      <c r="L66" s="72">
        <f t="shared" si="8"/>
        <v>0</v>
      </c>
      <c r="M66" s="72">
        <f t="shared" si="9"/>
        <v>0</v>
      </c>
      <c r="N66" s="72">
        <f t="shared" si="10"/>
        <v>0</v>
      </c>
      <c r="O66" s="72">
        <f t="shared" si="11"/>
        <v>0</v>
      </c>
      <c r="P66" s="72">
        <f t="shared" si="12"/>
        <v>0</v>
      </c>
      <c r="Q66" s="72">
        <f t="shared" si="13"/>
        <v>0</v>
      </c>
      <c r="R66" s="41" t="str">
        <f t="shared" si="14"/>
        <v>Flujo libre</v>
      </c>
      <c r="T66">
        <f t="shared" si="15"/>
        <v>27</v>
      </c>
      <c r="U66" s="32">
        <f t="shared" si="16"/>
        <v>0</v>
      </c>
      <c r="V66" s="32">
        <f t="shared" si="17"/>
        <v>0</v>
      </c>
      <c r="W66" s="32">
        <f t="shared" si="18"/>
        <v>0</v>
      </c>
    </row>
    <row r="67" spans="1:32" ht="26.75" customHeight="1">
      <c r="A67" s="85">
        <v>28</v>
      </c>
      <c r="B67" s="73">
        <v>0</v>
      </c>
      <c r="C67" s="71">
        <f>SUM($B$40:B67)</f>
        <v>38</v>
      </c>
      <c r="D67" s="71">
        <f t="shared" si="0"/>
        <v>0</v>
      </c>
      <c r="E67" s="72">
        <f t="shared" si="1"/>
        <v>0</v>
      </c>
      <c r="F67" s="72">
        <f t="shared" si="2"/>
        <v>0</v>
      </c>
      <c r="G67" s="72">
        <f t="shared" si="3"/>
        <v>0</v>
      </c>
      <c r="H67" s="72">
        <f t="shared" si="4"/>
        <v>0</v>
      </c>
      <c r="I67" s="72">
        <f t="shared" si="5"/>
        <v>0</v>
      </c>
      <c r="J67" s="72">
        <f t="shared" si="6"/>
        <v>0</v>
      </c>
      <c r="K67" s="72">
        <f t="shared" si="7"/>
        <v>0</v>
      </c>
      <c r="L67" s="72">
        <f t="shared" si="8"/>
        <v>0</v>
      </c>
      <c r="M67" s="72">
        <f t="shared" si="9"/>
        <v>0</v>
      </c>
      <c r="N67" s="72">
        <f t="shared" si="10"/>
        <v>0</v>
      </c>
      <c r="O67" s="72">
        <f t="shared" si="11"/>
        <v>0</v>
      </c>
      <c r="P67" s="72">
        <f t="shared" si="12"/>
        <v>0</v>
      </c>
      <c r="Q67" s="72">
        <f t="shared" si="13"/>
        <v>0</v>
      </c>
      <c r="R67" s="41" t="str">
        <f t="shared" si="14"/>
        <v>Flujo libre</v>
      </c>
      <c r="T67">
        <f t="shared" si="15"/>
        <v>28</v>
      </c>
      <c r="U67" s="32">
        <f t="shared" si="16"/>
        <v>0</v>
      </c>
      <c r="V67" s="32">
        <f t="shared" si="17"/>
        <v>0</v>
      </c>
      <c r="W67" s="32">
        <f t="shared" si="18"/>
        <v>0</v>
      </c>
    </row>
    <row r="68" spans="1:32" ht="26.75" customHeight="1">
      <c r="A68" s="85">
        <v>29</v>
      </c>
      <c r="B68" s="73">
        <v>0</v>
      </c>
      <c r="C68" s="71">
        <f>SUM($B$40:B68)</f>
        <v>38</v>
      </c>
      <c r="D68" s="71">
        <f t="shared" si="0"/>
        <v>0</v>
      </c>
      <c r="E68" s="72">
        <f t="shared" si="1"/>
        <v>0</v>
      </c>
      <c r="F68" s="72">
        <f t="shared" si="2"/>
        <v>0</v>
      </c>
      <c r="G68" s="72">
        <f t="shared" si="3"/>
        <v>0</v>
      </c>
      <c r="H68" s="72">
        <f t="shared" si="4"/>
        <v>0</v>
      </c>
      <c r="I68" s="72">
        <f t="shared" si="5"/>
        <v>0</v>
      </c>
      <c r="J68" s="72">
        <f t="shared" si="6"/>
        <v>0</v>
      </c>
      <c r="K68" s="72">
        <f t="shared" si="7"/>
        <v>0</v>
      </c>
      <c r="L68" s="72">
        <f t="shared" si="8"/>
        <v>0</v>
      </c>
      <c r="M68" s="72">
        <f t="shared" si="9"/>
        <v>0</v>
      </c>
      <c r="N68" s="72">
        <f t="shared" si="10"/>
        <v>0</v>
      </c>
      <c r="O68" s="72">
        <f t="shared" si="11"/>
        <v>0</v>
      </c>
      <c r="P68" s="72">
        <f t="shared" si="12"/>
        <v>0</v>
      </c>
      <c r="Q68" s="72">
        <f t="shared" si="13"/>
        <v>0</v>
      </c>
      <c r="R68" s="41" t="str">
        <f t="shared" si="14"/>
        <v>Flujo libre</v>
      </c>
      <c r="T68">
        <f t="shared" si="15"/>
        <v>29</v>
      </c>
      <c r="U68" s="32">
        <f t="shared" si="16"/>
        <v>0</v>
      </c>
      <c r="V68" s="32">
        <f t="shared" si="17"/>
        <v>0</v>
      </c>
      <c r="W68" s="32">
        <f t="shared" si="18"/>
        <v>0</v>
      </c>
    </row>
    <row r="69" spans="1:32" ht="26.75" customHeight="1">
      <c r="A69" s="85">
        <v>30</v>
      </c>
      <c r="B69" s="73">
        <v>0</v>
      </c>
      <c r="C69" s="71">
        <f>SUM($B$40:B69)</f>
        <v>38</v>
      </c>
      <c r="D69" s="71">
        <f t="shared" si="0"/>
        <v>0</v>
      </c>
      <c r="E69" s="72">
        <f t="shared" si="1"/>
        <v>0</v>
      </c>
      <c r="F69" s="72">
        <f t="shared" si="2"/>
        <v>0</v>
      </c>
      <c r="G69" s="72">
        <f t="shared" si="3"/>
        <v>0</v>
      </c>
      <c r="H69" s="72">
        <f t="shared" si="4"/>
        <v>0</v>
      </c>
      <c r="I69" s="72">
        <f t="shared" si="5"/>
        <v>0</v>
      </c>
      <c r="J69" s="72">
        <f t="shared" si="6"/>
        <v>0</v>
      </c>
      <c r="K69" s="72">
        <f t="shared" si="7"/>
        <v>0</v>
      </c>
      <c r="L69" s="72">
        <f t="shared" si="8"/>
        <v>0</v>
      </c>
      <c r="M69" s="72">
        <f t="shared" si="9"/>
        <v>0</v>
      </c>
      <c r="N69" s="72">
        <f t="shared" si="10"/>
        <v>0</v>
      </c>
      <c r="O69" s="72">
        <f t="shared" si="11"/>
        <v>0</v>
      </c>
      <c r="P69" s="72">
        <f t="shared" si="12"/>
        <v>0</v>
      </c>
      <c r="Q69" s="72">
        <f t="shared" si="13"/>
        <v>0</v>
      </c>
      <c r="R69" s="41" t="str">
        <f t="shared" si="14"/>
        <v>Flujo libre</v>
      </c>
      <c r="T69">
        <f t="shared" si="15"/>
        <v>30</v>
      </c>
      <c r="U69" s="32">
        <f t="shared" si="16"/>
        <v>0</v>
      </c>
      <c r="V69" s="32">
        <f t="shared" si="17"/>
        <v>0</v>
      </c>
      <c r="W69" s="32">
        <f t="shared" si="18"/>
        <v>0</v>
      </c>
    </row>
    <row r="70" spans="1:32">
      <c r="B70" s="80"/>
      <c r="C70" s="80"/>
      <c r="D70" s="80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</row>
    <row r="71" spans="1:32" ht="15">
      <c r="A71" s="49" t="s">
        <v>238</v>
      </c>
      <c r="B71" s="82" t="str">
        <f>IF(SUM(B40:B69)=$B$8,"OK: unidades vendidas","Revisar unidades")</f>
        <v>OK: unidades vendidas</v>
      </c>
      <c r="C71" s="83"/>
      <c r="D71" s="83"/>
      <c r="E71" s="84">
        <f t="shared" ref="E71:J71" si="19">SUM(E40:E69)</f>
        <v>127965973.43750004</v>
      </c>
      <c r="F71" s="84">
        <f t="shared" si="19"/>
        <v>11516937.609374998</v>
      </c>
      <c r="G71" s="84">
        <f t="shared" si="19"/>
        <v>2559319.4687499995</v>
      </c>
      <c r="H71" s="84">
        <f t="shared" si="19"/>
        <v>5118638.9374999991</v>
      </c>
      <c r="I71" s="84">
        <f t="shared" si="19"/>
        <v>0</v>
      </c>
      <c r="J71" s="84">
        <f t="shared" si="19"/>
        <v>108771077.42187496</v>
      </c>
      <c r="K71" s="84"/>
      <c r="L71" s="84">
        <f>SUM(L40:L69)</f>
        <v>5340399.8485727869</v>
      </c>
      <c r="M71" s="84"/>
      <c r="N71" s="84">
        <f>SUM(N40:N69)</f>
        <v>62669155.948572777</v>
      </c>
      <c r="O71" s="84">
        <f>SUM(O40:O69)</f>
        <v>46101921.47330223</v>
      </c>
      <c r="P71" s="84">
        <f>P69</f>
        <v>0</v>
      </c>
      <c r="Q71" s="84">
        <f>SUM(Q40:Q69)</f>
        <v>0</v>
      </c>
      <c r="R71" s="49"/>
    </row>
    <row r="76" spans="1:32" ht="15">
      <c r="A76" s="43" t="s">
        <v>239</v>
      </c>
      <c r="B76" s="43">
        <v>0</v>
      </c>
      <c r="C76" s="43">
        <v>1</v>
      </c>
      <c r="D76" s="43">
        <v>2</v>
      </c>
      <c r="E76" s="43">
        <v>3</v>
      </c>
      <c r="F76" s="43">
        <v>4</v>
      </c>
      <c r="G76" s="43">
        <v>5</v>
      </c>
      <c r="H76" s="43">
        <v>6</v>
      </c>
      <c r="I76" s="43">
        <v>7</v>
      </c>
      <c r="J76" s="43">
        <v>8</v>
      </c>
      <c r="K76" s="43">
        <v>9</v>
      </c>
      <c r="L76" s="43">
        <v>10</v>
      </c>
      <c r="M76" s="43">
        <v>11</v>
      </c>
      <c r="N76" s="43">
        <v>12</v>
      </c>
      <c r="O76" s="43">
        <v>13</v>
      </c>
      <c r="P76" s="43">
        <v>14</v>
      </c>
      <c r="Q76" s="43">
        <v>15</v>
      </c>
      <c r="R76" s="43">
        <v>16</v>
      </c>
      <c r="S76" s="43">
        <v>17</v>
      </c>
      <c r="T76" s="43">
        <v>18</v>
      </c>
      <c r="U76" s="43">
        <v>19</v>
      </c>
      <c r="V76" s="43">
        <v>20</v>
      </c>
      <c r="W76" s="43">
        <v>21</v>
      </c>
      <c r="X76" s="43">
        <v>22</v>
      </c>
      <c r="Y76" s="43">
        <v>23</v>
      </c>
      <c r="Z76" s="43">
        <v>24</v>
      </c>
      <c r="AA76" s="43">
        <v>25</v>
      </c>
      <c r="AB76" s="43">
        <v>26</v>
      </c>
      <c r="AC76" s="43">
        <v>27</v>
      </c>
      <c r="AD76" s="43">
        <v>28</v>
      </c>
      <c r="AE76" s="43">
        <v>29</v>
      </c>
      <c r="AF76" s="43">
        <v>30</v>
      </c>
    </row>
    <row r="77" spans="1:32" ht="15">
      <c r="A77" s="95" t="s">
        <v>240</v>
      </c>
      <c r="B77" s="50">
        <f>-$B$7</f>
        <v>-24569466.899999999</v>
      </c>
      <c r="C77" s="50">
        <f>O40</f>
        <v>0</v>
      </c>
      <c r="D77" s="50">
        <f>O41</f>
        <v>0</v>
      </c>
      <c r="E77" s="50">
        <f>O42</f>
        <v>0</v>
      </c>
      <c r="F77" s="50">
        <f>O43</f>
        <v>0</v>
      </c>
      <c r="G77" s="50">
        <f>O44</f>
        <v>0</v>
      </c>
      <c r="H77" s="50">
        <f>O45</f>
        <v>0</v>
      </c>
      <c r="I77" s="50">
        <f>O46</f>
        <v>0</v>
      </c>
      <c r="J77" s="50">
        <f>O47</f>
        <v>0</v>
      </c>
      <c r="K77" s="50">
        <f>O48</f>
        <v>0</v>
      </c>
      <c r="L77" s="50">
        <f>O49</f>
        <v>0</v>
      </c>
      <c r="M77" s="50">
        <f>O50</f>
        <v>303573.08514433261</v>
      </c>
      <c r="N77" s="50">
        <f>O51</f>
        <v>5724793.5485197371</v>
      </c>
      <c r="O77" s="50">
        <f>O52</f>
        <v>5724793.5485197371</v>
      </c>
      <c r="P77" s="50">
        <f>O53</f>
        <v>5724793.5485197371</v>
      </c>
      <c r="Q77" s="50">
        <f>O54</f>
        <v>5724793.5485197371</v>
      </c>
      <c r="R77" s="50">
        <f>O55</f>
        <v>5724793.5485197371</v>
      </c>
      <c r="S77" s="50">
        <f>O56</f>
        <v>5724793.5485197371</v>
      </c>
      <c r="T77" s="50">
        <f>O57</f>
        <v>5724793.5485197371</v>
      </c>
      <c r="U77" s="50">
        <f>O58</f>
        <v>5724793.5485197371</v>
      </c>
      <c r="V77" s="50">
        <f>O59</f>
        <v>0</v>
      </c>
      <c r="W77" s="50">
        <f>O60</f>
        <v>0</v>
      </c>
      <c r="X77" s="50">
        <f>O61</f>
        <v>0</v>
      </c>
      <c r="Y77" s="50">
        <f>O62</f>
        <v>0</v>
      </c>
      <c r="Z77" s="50">
        <f>O63</f>
        <v>0</v>
      </c>
      <c r="AA77" s="50">
        <f>O64</f>
        <v>0</v>
      </c>
      <c r="AB77" s="50">
        <f>O65</f>
        <v>0</v>
      </c>
      <c r="AC77" s="50">
        <f>O66</f>
        <v>0</v>
      </c>
      <c r="AD77" s="50">
        <f>O67</f>
        <v>0</v>
      </c>
      <c r="AE77" s="50">
        <f>O68</f>
        <v>0</v>
      </c>
      <c r="AF77" s="50">
        <f>O69</f>
        <v>0</v>
      </c>
    </row>
  </sheetData>
  <mergeCells count="13">
    <mergeCell ref="K10:R10"/>
    <mergeCell ref="A36:R36"/>
    <mergeCell ref="A37:R37"/>
    <mergeCell ref="K5:R5"/>
    <mergeCell ref="K6:R6"/>
    <mergeCell ref="K7:R7"/>
    <mergeCell ref="K8:R8"/>
    <mergeCell ref="K9:R9"/>
    <mergeCell ref="A1:R1"/>
    <mergeCell ref="A2:R2"/>
    <mergeCell ref="A4:D4"/>
    <mergeCell ref="F4:H4"/>
    <mergeCell ref="J4:R4"/>
  </mergeCells>
  <conditionalFormatting sqref="G15">
    <cfRule type="expression" dxfId="6" priority="7">
      <formula>G15="VIABLE"</formula>
    </cfRule>
    <cfRule type="expression" dxfId="5" priority="8">
      <formula>G15="NO VIABLE"</formula>
    </cfRule>
  </conditionalFormatting>
  <conditionalFormatting sqref="O36:O45">
    <cfRule type="cellIs" dxfId="4" priority="1" operator="greaterThan">
      <formula>0</formula>
    </cfRule>
    <cfRule type="cellIs" dxfId="3" priority="2" operator="lessThan">
      <formula>0</formula>
    </cfRule>
  </conditionalFormatting>
  <conditionalFormatting sqref="O40:O69">
    <cfRule type="cellIs" dxfId="2" priority="5" operator="lessThan">
      <formula>0</formula>
    </cfRule>
  </conditionalFormatting>
  <conditionalFormatting sqref="P36:P45">
    <cfRule type="cellIs" dxfId="1" priority="3" operator="greaterThan">
      <formula>0</formula>
    </cfRule>
  </conditionalFormatting>
  <conditionalFormatting sqref="P40:P69">
    <cfRule type="dataBar" priority="6">
      <dataBar>
        <cfvo type="min"/>
        <cfvo type="max"/>
        <color rgb="FF5B9BD5"/>
      </dataBar>
    </cfRule>
    <cfRule type="dataBar" priority="9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{158097FA-969B-E284-A92A-6A55BBDF6579}</x14:id>
        </ext>
      </extLst>
    </cfRule>
  </conditionalFormatting>
  <conditionalFormatting sqref="Q36:Q45">
    <cfRule type="cellIs" dxfId="0" priority="4" operator="greaterThan">
      <formula>0</formula>
    </cfRule>
  </conditionalFormatting>
  <dataValidations count="1">
    <dataValidation type="list" sqref="B36:B69" xr:uid="{00000000-0002-0000-0400-000000000000}">
      <formula1>"0,1,2"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8097FA-969B-E284-A92A-6A55BBDF6579}">
            <x14:dataBar>
              <x14:cfvo type="min"/>
              <x14:cfvo type="max"/>
              <x14:negativeFillColor auto="1"/>
              <x14:axisColor auto="1"/>
            </x14:dataBar>
          </x14:cfRule>
          <xm:sqref>P40:P69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Dashboard</vt:lpstr>
      <vt:lpstr>Control</vt:lpstr>
      <vt:lpstr>Supuestos_Trimestrales</vt:lpstr>
      <vt:lpstr>Deuda_60_Meses</vt:lpstr>
      <vt:lpstr>Venta_Proyecto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Javier Reynoso Ortega</cp:lastModifiedBy>
  <dcterms:created xsi:type="dcterms:W3CDTF">2026-05-28T06:12:10Z</dcterms:created>
  <dcterms:modified xsi:type="dcterms:W3CDTF">2026-05-28T06:12:11Z</dcterms:modified>
</cp:coreProperties>
</file>